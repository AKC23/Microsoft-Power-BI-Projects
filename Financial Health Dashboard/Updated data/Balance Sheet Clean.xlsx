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\Downloads\Quickbox _Report\Financial Report\"/>
    </mc:Choice>
  </mc:AlternateContent>
  <xr:revisionPtr revIDLastSave="0" documentId="13_ncr:1_{657E4A77-814A-42DA-901A-09068B825041}" xr6:coauthVersionLast="47" xr6:coauthVersionMax="47" xr10:uidLastSave="{00000000-0000-0000-0000-000000000000}"/>
  <bookViews>
    <workbookView xWindow="27345" yWindow="2340" windowWidth="21630" windowHeight="11310" activeTab="1" xr2:uid="{8A311376-DC08-4C8D-9AF5-7C979901F412}"/>
  </bookViews>
  <sheets>
    <sheet name="Balance Sheet" sheetId="2" r:id="rId1"/>
    <sheet name="Sheet1" sheetId="3" r:id="rId2"/>
  </sheets>
  <definedNames>
    <definedName name="_xlchart.v1.0" hidden="1">Sheet1!$G$8</definedName>
    <definedName name="_xlchart.v1.1" hidden="1">Sheet1!$G$8:$J$8</definedName>
    <definedName name="_xlchart.v1.2" hidden="1">Sheet1!$H$7:$J$7</definedName>
    <definedName name="_xlchart.v1.3" hidden="1">Sheet1!$H$8:$J$8</definedName>
    <definedName name="_xlchart.v1.4" hidden="1">Sheet1!$G$7:$J$7</definedName>
    <definedName name="_xlchart.v1.5" hidden="1">Sheet1!$G$8:$J$8</definedName>
    <definedName name="_xlchart.v1.6" hidden="1">Sheet1!$G$8:$I$8</definedName>
    <definedName name="_xlchart.v1.7" hidden="1">Sheet1!$G$7:$J$7</definedName>
    <definedName name="_xlchart.v1.8" hidden="1">Sheet1!$G$8:$J$8</definedName>
    <definedName name="ExternalData_1" localSheetId="0" hidden="1">'Balance Sheet'!$A$1:$E$50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F47A0-64BD-43AA-B7B8-03D80DD6E107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<sst xmlns="http://schemas.openxmlformats.org/spreadsheetml/2006/main" count="205" uniqueCount="70">
  <si>
    <t>Category</t>
  </si>
  <si>
    <t>Account Name</t>
  </si>
  <si>
    <t>Amount</t>
  </si>
  <si>
    <t>ASSETS</t>
  </si>
  <si>
    <t>Current Assets</t>
  </si>
  <si>
    <t>Checking/Savings</t>
  </si>
  <si>
    <t>Aqua Checking</t>
  </si>
  <si>
    <t>FSM Chase CD</t>
  </si>
  <si>
    <t>FSM Chase Checking</t>
  </si>
  <si>
    <t>FSM Chase Savings</t>
  </si>
  <si>
    <t>FSM Checking</t>
  </si>
  <si>
    <t>FSM Savings</t>
  </si>
  <si>
    <t>Petty Cash</t>
  </si>
  <si>
    <t>Sky Checking</t>
  </si>
  <si>
    <t>Accounts Receivable</t>
  </si>
  <si>
    <t>Accounts Receivable - EUR</t>
  </si>
  <si>
    <t>Other Current Assets</t>
  </si>
  <si>
    <t>Employee Advance</t>
  </si>
  <si>
    <t>Project Start Payments</t>
  </si>
  <si>
    <t>Fixed Assets</t>
  </si>
  <si>
    <t>Accumulated Depreciation</t>
  </si>
  <si>
    <t/>
  </si>
  <si>
    <t>Building</t>
  </si>
  <si>
    <t>Furniture and Equipment</t>
  </si>
  <si>
    <t>Machinery &amp; Equipment</t>
  </si>
  <si>
    <t>Vehicles</t>
  </si>
  <si>
    <t>(2019) Subaru Ascent Touring</t>
  </si>
  <si>
    <t>Vehicles - Other</t>
  </si>
  <si>
    <t>Vehicles - Dodge Ram 1500</t>
  </si>
  <si>
    <t>Total Fixed Assets</t>
  </si>
  <si>
    <t>Other Assets</t>
  </si>
  <si>
    <t>Leasehold Improvements</t>
  </si>
  <si>
    <t>Pending</t>
  </si>
  <si>
    <t>Security Deposits</t>
  </si>
  <si>
    <t>Total Other Assets</t>
  </si>
  <si>
    <t>TOTAL ASSETS</t>
  </si>
  <si>
    <t>LIABILITIES &amp; EQUITY</t>
  </si>
  <si>
    <t>Liabilities</t>
  </si>
  <si>
    <t>Current Liabilities</t>
  </si>
  <si>
    <t>Accounts Payable</t>
  </si>
  <si>
    <t>Accounts Payable - EUR</t>
  </si>
  <si>
    <t>Accounts Payable - GBP</t>
  </si>
  <si>
    <t>Accounts Payable - SEK</t>
  </si>
  <si>
    <t>2135 SD CAPM 6607</t>
  </si>
  <si>
    <t>AmEx Blue</t>
  </si>
  <si>
    <t>Chase Card 4167</t>
  </si>
  <si>
    <t>MD CAPV 4602</t>
  </si>
  <si>
    <t>FL State Corp Tax Payable</t>
  </si>
  <si>
    <t>Loan from FSM</t>
  </si>
  <si>
    <t>Loan from S&amp;M</t>
  </si>
  <si>
    <t>Loan to FSM</t>
  </si>
  <si>
    <t>Loan to S&amp;M</t>
  </si>
  <si>
    <t>L/P -  SMDickson</t>
  </si>
  <si>
    <t>Loan from Shareholder</t>
  </si>
  <si>
    <t>Payroll Liabilities</t>
  </si>
  <si>
    <t>Sales Tax Payable</t>
  </si>
  <si>
    <t>Equity</t>
  </si>
  <si>
    <t>Katie's Share Purchase</t>
  </si>
  <si>
    <t>Paid In Capital</t>
  </si>
  <si>
    <t>Retained Earnings</t>
  </si>
  <si>
    <t>Shawn and Marial Distribution</t>
  </si>
  <si>
    <t>Net Income</t>
  </si>
  <si>
    <t>Total Equity</t>
  </si>
  <si>
    <t>TOTAL LIABILITIES &amp; EQUITY</t>
  </si>
  <si>
    <t>Account Group</t>
  </si>
  <si>
    <t>Sub Category</t>
  </si>
  <si>
    <t>AR</t>
  </si>
  <si>
    <t>INV</t>
  </si>
  <si>
    <t>AP</t>
  </si>
  <si>
    <t>wcr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</si>
</sst>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1" tint="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</cx:chartData>
  <cx:chart>
    <cx:title pos="t" align="ctr" overlay="0"/>
    <cx:plotArea>
      <cx:plotAreaRegion>
        <cx:series layoutId="waterfall" uniqueId="{C3B097CF-6BDA-46B1-AE05-6024833BE5D3}"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2</xdr:row>
      <xdr:rowOff>114300</xdr:rowOff>
    </xdr:from>
    <xdr:to>
      <xdr:col>17</xdr:col>
      <xdr:colOff>57150</xdr:colOff>
      <xdr:row>17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7DD37CB-26EA-B8B1-AE83-505E867463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8350" y="495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D72562-F178-40A6-B878-F2BCBF62FBFC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Sub Categoty" tableColumnId="2"/>
      <queryTableField id="3" name="ACcount Group" tableColumnId="3"/>
      <queryTableField id="4" name="Account Name" tableColumnId="4"/>
      <queryTableField id="5" name="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1F173-222C-493E-8DA9-603C2E0849A1}" name="Sheet1" displayName="Sheet1" ref="A1:E50" tableType="queryTable" totalsRowShown="0" headerRowDxfId="4">
  <autoFilter ref="A1:E50" xr:uid="{F5C1F173-222C-493E-8DA9-603C2E0849A1}"/>
  <tableColumns count="5">
    <tableColumn id="1" xr3:uid="{3F357ADD-09C3-43F7-BB79-6C3C65EFC7BE}" uniqueName="1" name="Category" queryTableFieldId="1" dataDxfId="3"/>
    <tableColumn id="2" xr3:uid="{A25B8102-B64A-4CFB-8D98-773AA6A0371D}" uniqueName="2" name="Sub Category" queryTableFieldId="2" dataDxfId="2"/>
    <tableColumn id="3" xr3:uid="{7B1FCAFA-26C3-4DDF-8194-ECFC41DDE83E}" uniqueName="3" name="Account Group" queryTableFieldId="3" dataDxfId="1"/>
    <tableColumn id="4" xr3:uid="{519FA353-9630-4038-ABAB-902EC39D81AE}" uniqueName="4" name="Account Name" queryTableFieldId="4" dataDxfId="0"/>
    <tableColumn id="5" xr3:uid="{6B43AA9F-7836-46FB-A821-107D53B98D92}" uniqueName="5" name="Amount" queryTableFieldId="5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E940-6B28-4DBE-A2F9-488D2D4942DF}">
  <dimension ref="A1:E50"/>
  <sheetViews>
    <sheetView workbookViewId="0">
      <pane ySplit="1" topLeftCell="A2" activePane="bottomLeft" state="frozen"/>
      <selection pane="bottomLeft" activeCell="I15" sqref="I15"/>
    </sheetView>
  </sheetViews>
  <sheetFormatPr defaultRowHeight="15" x14ac:dyDescent="0.25"/>
  <cols>
    <col min="1" max="1" width="25.5703125" bestFit="1" customWidth="1"/>
    <col min="2" max="2" width="17.42578125" bestFit="1" customWidth="1"/>
    <col min="3" max="3" width="28.140625" bestFit="1" customWidth="1"/>
    <col min="4" max="4" width="27.140625" bestFit="1" customWidth="1"/>
    <col min="5" max="5" width="11.7109375" bestFit="1" customWidth="1"/>
  </cols>
  <sheetData>
    <row r="1" spans="1:5" s="1" customFormat="1" x14ac:dyDescent="0.25">
      <c r="A1" s="1" t="s">
        <v>0</v>
      </c>
      <c r="B1" s="1" t="s">
        <v>65</v>
      </c>
      <c r="C1" s="1" t="s">
        <v>64</v>
      </c>
      <c r="D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>
        <v>32764</v>
      </c>
    </row>
    <row r="3" spans="1:5" x14ac:dyDescent="0.25">
      <c r="A3" t="s">
        <v>3</v>
      </c>
      <c r="B3" t="s">
        <v>4</v>
      </c>
      <c r="C3" t="s">
        <v>5</v>
      </c>
      <c r="D3" t="s">
        <v>7</v>
      </c>
      <c r="E3">
        <v>250000</v>
      </c>
    </row>
    <row r="4" spans="1:5" x14ac:dyDescent="0.25">
      <c r="A4" t="s">
        <v>3</v>
      </c>
      <c r="B4" t="s">
        <v>4</v>
      </c>
      <c r="C4" t="s">
        <v>5</v>
      </c>
      <c r="D4" t="s">
        <v>8</v>
      </c>
      <c r="E4">
        <v>79436.87</v>
      </c>
    </row>
    <row r="5" spans="1:5" x14ac:dyDescent="0.25">
      <c r="A5" t="s">
        <v>3</v>
      </c>
      <c r="B5" t="s">
        <v>4</v>
      </c>
      <c r="C5" t="s">
        <v>5</v>
      </c>
      <c r="D5" t="s">
        <v>9</v>
      </c>
      <c r="E5">
        <v>49998.69</v>
      </c>
    </row>
    <row r="6" spans="1:5" x14ac:dyDescent="0.25">
      <c r="A6" t="s">
        <v>3</v>
      </c>
      <c r="B6" t="s">
        <v>4</v>
      </c>
      <c r="C6" t="s">
        <v>5</v>
      </c>
      <c r="D6" t="s">
        <v>10</v>
      </c>
      <c r="E6">
        <v>54657.3</v>
      </c>
    </row>
    <row r="7" spans="1:5" x14ac:dyDescent="0.25">
      <c r="A7" t="s">
        <v>3</v>
      </c>
      <c r="B7" t="s">
        <v>4</v>
      </c>
      <c r="C7" t="s">
        <v>5</v>
      </c>
      <c r="D7" t="s">
        <v>11</v>
      </c>
      <c r="E7">
        <v>-33.159999999999997</v>
      </c>
    </row>
    <row r="8" spans="1:5" x14ac:dyDescent="0.25">
      <c r="A8" t="s">
        <v>3</v>
      </c>
      <c r="B8" t="s">
        <v>4</v>
      </c>
      <c r="C8" t="s">
        <v>5</v>
      </c>
      <c r="D8" t="s">
        <v>12</v>
      </c>
      <c r="E8">
        <v>39705.129999999997</v>
      </c>
    </row>
    <row r="9" spans="1:5" x14ac:dyDescent="0.25">
      <c r="A9" t="s">
        <v>3</v>
      </c>
      <c r="B9" t="s">
        <v>4</v>
      </c>
      <c r="C9" t="s">
        <v>5</v>
      </c>
      <c r="D9" t="s">
        <v>13</v>
      </c>
      <c r="E9">
        <v>74472</v>
      </c>
    </row>
    <row r="10" spans="1:5" x14ac:dyDescent="0.25">
      <c r="A10" t="s">
        <v>3</v>
      </c>
      <c r="B10" t="s">
        <v>4</v>
      </c>
      <c r="C10" t="s">
        <v>14</v>
      </c>
      <c r="D10" t="s">
        <v>14</v>
      </c>
      <c r="E10">
        <v>4103867.94</v>
      </c>
    </row>
    <row r="11" spans="1:5" x14ac:dyDescent="0.25">
      <c r="A11" t="s">
        <v>3</v>
      </c>
      <c r="B11" t="s">
        <v>4</v>
      </c>
      <c r="C11" t="s">
        <v>14</v>
      </c>
      <c r="D11" t="s">
        <v>15</v>
      </c>
      <c r="E11">
        <v>120.75</v>
      </c>
    </row>
    <row r="12" spans="1:5" x14ac:dyDescent="0.25">
      <c r="A12" t="s">
        <v>3</v>
      </c>
      <c r="B12" t="s">
        <v>4</v>
      </c>
      <c r="C12" t="s">
        <v>16</v>
      </c>
      <c r="D12" t="s">
        <v>17</v>
      </c>
      <c r="E12">
        <v>2387.2800000000002</v>
      </c>
    </row>
    <row r="13" spans="1:5" x14ac:dyDescent="0.25">
      <c r="A13" t="s">
        <v>3</v>
      </c>
      <c r="B13" t="s">
        <v>4</v>
      </c>
      <c r="C13" t="s">
        <v>16</v>
      </c>
      <c r="D13" t="s">
        <v>18</v>
      </c>
      <c r="E13">
        <v>-246419</v>
      </c>
    </row>
    <row r="14" spans="1:5" x14ac:dyDescent="0.25">
      <c r="A14" t="s">
        <v>3</v>
      </c>
      <c r="B14" t="s">
        <v>19</v>
      </c>
      <c r="C14" t="s">
        <v>20</v>
      </c>
      <c r="D14" t="s">
        <v>21</v>
      </c>
      <c r="E14">
        <v>-436513.06</v>
      </c>
    </row>
    <row r="15" spans="1:5" x14ac:dyDescent="0.25">
      <c r="A15" t="s">
        <v>3</v>
      </c>
      <c r="B15" t="s">
        <v>19</v>
      </c>
      <c r="C15" t="s">
        <v>22</v>
      </c>
      <c r="D15" t="s">
        <v>21</v>
      </c>
      <c r="E15">
        <v>2824258.81</v>
      </c>
    </row>
    <row r="16" spans="1:5" x14ac:dyDescent="0.25">
      <c r="A16" t="s">
        <v>3</v>
      </c>
      <c r="B16" t="s">
        <v>19</v>
      </c>
      <c r="C16" t="s">
        <v>23</v>
      </c>
      <c r="D16" t="s">
        <v>21</v>
      </c>
      <c r="E16">
        <v>68100.77</v>
      </c>
    </row>
    <row r="17" spans="1:5" x14ac:dyDescent="0.25">
      <c r="A17" t="s">
        <v>3</v>
      </c>
      <c r="B17" t="s">
        <v>19</v>
      </c>
      <c r="C17" t="s">
        <v>24</v>
      </c>
      <c r="D17" t="s">
        <v>21</v>
      </c>
      <c r="E17">
        <v>275666.3</v>
      </c>
    </row>
    <row r="18" spans="1:5" x14ac:dyDescent="0.25">
      <c r="A18" t="s">
        <v>3</v>
      </c>
      <c r="B18" t="s">
        <v>19</v>
      </c>
      <c r="C18" t="s">
        <v>25</v>
      </c>
      <c r="D18" t="s">
        <v>26</v>
      </c>
      <c r="E18">
        <v>40859.79</v>
      </c>
    </row>
    <row r="19" spans="1:5" x14ac:dyDescent="0.25">
      <c r="A19" t="s">
        <v>3</v>
      </c>
      <c r="B19" t="s">
        <v>19</v>
      </c>
      <c r="C19" t="s">
        <v>25</v>
      </c>
      <c r="D19" t="s">
        <v>27</v>
      </c>
      <c r="E19">
        <v>28144.07</v>
      </c>
    </row>
    <row r="20" spans="1:5" x14ac:dyDescent="0.25">
      <c r="A20" t="s">
        <v>3</v>
      </c>
      <c r="B20" t="s">
        <v>19</v>
      </c>
      <c r="C20" t="s">
        <v>28</v>
      </c>
      <c r="D20" t="s">
        <v>21</v>
      </c>
      <c r="E20">
        <v>46586.18</v>
      </c>
    </row>
    <row r="21" spans="1:5" x14ac:dyDescent="0.25">
      <c r="A21" t="s">
        <v>3</v>
      </c>
      <c r="B21" t="s">
        <v>29</v>
      </c>
      <c r="C21" t="s">
        <v>28</v>
      </c>
      <c r="D21" t="s">
        <v>21</v>
      </c>
      <c r="E21">
        <v>2847102.86</v>
      </c>
    </row>
    <row r="22" spans="1:5" x14ac:dyDescent="0.25">
      <c r="A22" t="s">
        <v>3</v>
      </c>
      <c r="B22" t="s">
        <v>30</v>
      </c>
      <c r="C22" t="s">
        <v>31</v>
      </c>
      <c r="D22" t="s">
        <v>21</v>
      </c>
      <c r="E22">
        <v>311972.93</v>
      </c>
    </row>
    <row r="23" spans="1:5" x14ac:dyDescent="0.25">
      <c r="A23" t="s">
        <v>3</v>
      </c>
      <c r="B23" t="s">
        <v>30</v>
      </c>
      <c r="C23" t="s">
        <v>32</v>
      </c>
      <c r="D23" t="s">
        <v>21</v>
      </c>
      <c r="E23">
        <v>2885.46</v>
      </c>
    </row>
    <row r="24" spans="1:5" x14ac:dyDescent="0.25">
      <c r="A24" t="s">
        <v>3</v>
      </c>
      <c r="B24" t="s">
        <v>30</v>
      </c>
      <c r="C24" t="s">
        <v>33</v>
      </c>
      <c r="D24" t="s">
        <v>21</v>
      </c>
      <c r="E24">
        <v>14540.5</v>
      </c>
    </row>
    <row r="25" spans="1:5" x14ac:dyDescent="0.25">
      <c r="A25" t="s">
        <v>3</v>
      </c>
      <c r="B25" t="s">
        <v>34</v>
      </c>
      <c r="C25" t="s">
        <v>33</v>
      </c>
      <c r="D25" t="s">
        <v>21</v>
      </c>
      <c r="E25">
        <v>329398.89</v>
      </c>
    </row>
    <row r="26" spans="1:5" x14ac:dyDescent="0.25">
      <c r="A26" t="s">
        <v>35</v>
      </c>
      <c r="B26" t="s">
        <v>34</v>
      </c>
      <c r="C26" t="s">
        <v>33</v>
      </c>
      <c r="D26" t="s">
        <v>21</v>
      </c>
      <c r="E26">
        <v>7617459.5499999998</v>
      </c>
    </row>
    <row r="27" spans="1:5" x14ac:dyDescent="0.25">
      <c r="A27" t="s">
        <v>36</v>
      </c>
      <c r="B27" t="s">
        <v>37</v>
      </c>
      <c r="C27" t="s">
        <v>38</v>
      </c>
      <c r="D27" t="s">
        <v>39</v>
      </c>
      <c r="E27">
        <v>705294.85</v>
      </c>
    </row>
    <row r="28" spans="1:5" x14ac:dyDescent="0.25">
      <c r="A28" t="s">
        <v>36</v>
      </c>
      <c r="B28" t="s">
        <v>37</v>
      </c>
      <c r="C28" t="s">
        <v>38</v>
      </c>
      <c r="D28" t="s">
        <v>40</v>
      </c>
      <c r="E28">
        <v>34978.78</v>
      </c>
    </row>
    <row r="29" spans="1:5" x14ac:dyDescent="0.25">
      <c r="A29" t="s">
        <v>36</v>
      </c>
      <c r="B29" t="s">
        <v>37</v>
      </c>
      <c r="C29" t="s">
        <v>38</v>
      </c>
      <c r="D29" t="s">
        <v>41</v>
      </c>
      <c r="E29">
        <v>0.01</v>
      </c>
    </row>
    <row r="30" spans="1:5" x14ac:dyDescent="0.25">
      <c r="A30" t="s">
        <v>36</v>
      </c>
      <c r="B30" t="s">
        <v>37</v>
      </c>
      <c r="C30" t="s">
        <v>38</v>
      </c>
      <c r="D30" t="s">
        <v>42</v>
      </c>
      <c r="E30">
        <v>70073.17</v>
      </c>
    </row>
    <row r="31" spans="1:5" x14ac:dyDescent="0.25">
      <c r="A31" t="s">
        <v>36</v>
      </c>
      <c r="B31" t="s">
        <v>37</v>
      </c>
      <c r="C31" t="s">
        <v>38</v>
      </c>
      <c r="D31" t="s">
        <v>43</v>
      </c>
      <c r="E31">
        <v>18166.27</v>
      </c>
    </row>
    <row r="32" spans="1:5" x14ac:dyDescent="0.25">
      <c r="A32" t="s">
        <v>36</v>
      </c>
      <c r="B32" t="s">
        <v>37</v>
      </c>
      <c r="C32" t="s">
        <v>38</v>
      </c>
      <c r="D32" t="s">
        <v>44</v>
      </c>
      <c r="E32">
        <v>-61.11</v>
      </c>
    </row>
    <row r="33" spans="1:5" x14ac:dyDescent="0.25">
      <c r="A33" t="s">
        <v>36</v>
      </c>
      <c r="B33" t="s">
        <v>37</v>
      </c>
      <c r="C33" t="s">
        <v>38</v>
      </c>
      <c r="D33" t="s">
        <v>45</v>
      </c>
      <c r="E33">
        <v>10164.82</v>
      </c>
    </row>
    <row r="34" spans="1:5" x14ac:dyDescent="0.25">
      <c r="A34" t="s">
        <v>36</v>
      </c>
      <c r="B34" t="s">
        <v>37</v>
      </c>
      <c r="C34" t="s">
        <v>38</v>
      </c>
      <c r="D34" t="s">
        <v>46</v>
      </c>
      <c r="E34">
        <v>-122496.9</v>
      </c>
    </row>
    <row r="35" spans="1:5" x14ac:dyDescent="0.25">
      <c r="A35" t="s">
        <v>36</v>
      </c>
      <c r="B35" t="s">
        <v>37</v>
      </c>
      <c r="C35" t="s">
        <v>38</v>
      </c>
      <c r="D35" t="s">
        <v>47</v>
      </c>
      <c r="E35">
        <v>10765</v>
      </c>
    </row>
    <row r="36" spans="1:5" x14ac:dyDescent="0.25">
      <c r="A36" t="s">
        <v>36</v>
      </c>
      <c r="B36" t="s">
        <v>37</v>
      </c>
      <c r="C36" t="s">
        <v>38</v>
      </c>
      <c r="D36" t="s">
        <v>48</v>
      </c>
      <c r="E36">
        <v>2942853.82</v>
      </c>
    </row>
    <row r="37" spans="1:5" x14ac:dyDescent="0.25">
      <c r="A37" t="s">
        <v>36</v>
      </c>
      <c r="B37" t="s">
        <v>37</v>
      </c>
      <c r="C37" t="s">
        <v>38</v>
      </c>
      <c r="D37" t="s">
        <v>49</v>
      </c>
      <c r="E37">
        <v>14500</v>
      </c>
    </row>
    <row r="38" spans="1:5" x14ac:dyDescent="0.25">
      <c r="A38" t="s">
        <v>36</v>
      </c>
      <c r="B38" t="s">
        <v>37</v>
      </c>
      <c r="C38" t="s">
        <v>38</v>
      </c>
      <c r="D38" t="s">
        <v>50</v>
      </c>
      <c r="E38">
        <v>-14500</v>
      </c>
    </row>
    <row r="39" spans="1:5" x14ac:dyDescent="0.25">
      <c r="A39" t="s">
        <v>36</v>
      </c>
      <c r="B39" t="s">
        <v>37</v>
      </c>
      <c r="C39" t="s">
        <v>38</v>
      </c>
      <c r="D39" t="s">
        <v>51</v>
      </c>
      <c r="E39">
        <v>-2942853.82</v>
      </c>
    </row>
    <row r="40" spans="1:5" x14ac:dyDescent="0.25">
      <c r="A40" t="s">
        <v>36</v>
      </c>
      <c r="B40" t="s">
        <v>37</v>
      </c>
      <c r="C40" t="s">
        <v>38</v>
      </c>
      <c r="D40" t="s">
        <v>52</v>
      </c>
      <c r="E40">
        <v>20341.29</v>
      </c>
    </row>
    <row r="41" spans="1:5" x14ac:dyDescent="0.25">
      <c r="A41" t="s">
        <v>36</v>
      </c>
      <c r="B41" t="s">
        <v>37</v>
      </c>
      <c r="C41" t="s">
        <v>38</v>
      </c>
      <c r="D41" t="s">
        <v>53</v>
      </c>
      <c r="E41">
        <v>189936.79</v>
      </c>
    </row>
    <row r="42" spans="1:5" x14ac:dyDescent="0.25">
      <c r="A42" t="s">
        <v>36</v>
      </c>
      <c r="B42" t="s">
        <v>37</v>
      </c>
      <c r="C42" t="s">
        <v>38</v>
      </c>
      <c r="D42" t="s">
        <v>54</v>
      </c>
      <c r="E42">
        <v>1216.3</v>
      </c>
    </row>
    <row r="43" spans="1:5" x14ac:dyDescent="0.25">
      <c r="A43" t="s">
        <v>36</v>
      </c>
      <c r="B43" t="s">
        <v>37</v>
      </c>
      <c r="C43" t="s">
        <v>38</v>
      </c>
      <c r="D43" t="s">
        <v>55</v>
      </c>
      <c r="E43">
        <v>684.01</v>
      </c>
    </row>
    <row r="44" spans="1:5" x14ac:dyDescent="0.25">
      <c r="A44" t="s">
        <v>36</v>
      </c>
      <c r="B44" t="s">
        <v>56</v>
      </c>
      <c r="C44" t="s">
        <v>57</v>
      </c>
      <c r="D44" t="s">
        <v>21</v>
      </c>
      <c r="E44">
        <v>-50000</v>
      </c>
    </row>
    <row r="45" spans="1:5" x14ac:dyDescent="0.25">
      <c r="A45" t="s">
        <v>36</v>
      </c>
      <c r="B45" t="s">
        <v>56</v>
      </c>
      <c r="C45" t="s">
        <v>58</v>
      </c>
      <c r="D45" t="s">
        <v>21</v>
      </c>
      <c r="E45">
        <v>394492</v>
      </c>
    </row>
    <row r="46" spans="1:5" x14ac:dyDescent="0.25">
      <c r="A46" t="s">
        <v>36</v>
      </c>
      <c r="B46" t="s">
        <v>56</v>
      </c>
      <c r="C46" t="s">
        <v>59</v>
      </c>
      <c r="D46" t="s">
        <v>21</v>
      </c>
      <c r="E46">
        <v>4309316.91</v>
      </c>
    </row>
    <row r="47" spans="1:5" x14ac:dyDescent="0.25">
      <c r="A47" t="s">
        <v>36</v>
      </c>
      <c r="B47" t="s">
        <v>56</v>
      </c>
      <c r="C47" t="s">
        <v>60</v>
      </c>
      <c r="D47" t="s">
        <v>21</v>
      </c>
      <c r="E47">
        <v>-30017.47</v>
      </c>
    </row>
    <row r="48" spans="1:5" x14ac:dyDescent="0.25">
      <c r="A48" t="s">
        <v>36</v>
      </c>
      <c r="B48" t="s">
        <v>56</v>
      </c>
      <c r="C48" t="s">
        <v>61</v>
      </c>
      <c r="D48" t="s">
        <v>21</v>
      </c>
      <c r="E48">
        <v>2054604.84</v>
      </c>
    </row>
    <row r="49" spans="1:5" x14ac:dyDescent="0.25">
      <c r="A49" t="s">
        <v>36</v>
      </c>
      <c r="B49" t="s">
        <v>62</v>
      </c>
      <c r="C49" t="s">
        <v>61</v>
      </c>
      <c r="D49" t="s">
        <v>21</v>
      </c>
      <c r="E49">
        <v>6678396.2800000003</v>
      </c>
    </row>
    <row r="50" spans="1:5" x14ac:dyDescent="0.25">
      <c r="A50" t="s">
        <v>63</v>
      </c>
      <c r="B50" t="s">
        <v>62</v>
      </c>
      <c r="C50" t="s">
        <v>61</v>
      </c>
      <c r="D50" t="s">
        <v>21</v>
      </c>
      <c r="E50">
        <v>7617459.5599999996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6AB1-5BC1-4669-A35A-8556DCD5D1CA}">
  <dimension ref="G7:J8"/>
  <sheetViews>
    <sheetView tabSelected="1" workbookViewId="0">
      <selection activeCell="G7" sqref="G7:J8"/>
    </sheetView>
  </sheetViews>
  <sheetFormatPr defaultRowHeight="15" x14ac:dyDescent="0.25"/>
  <sheetData>
    <row r="7" spans="7:10" x14ac:dyDescent="0.25">
      <c r="G7" t="s">
        <v>66</v>
      </c>
      <c r="H7" t="s">
        <v>67</v>
      </c>
      <c r="I7" t="s">
        <v>68</v>
      </c>
      <c r="J7" t="s">
        <v>69</v>
      </c>
    </row>
    <row r="8" spans="7:10" x14ac:dyDescent="0.25">
      <c r="G8">
        <v>6</v>
      </c>
      <c r="H8">
        <v>2</v>
      </c>
      <c r="I8">
        <v>-1</v>
      </c>
      <c r="J8">
        <f>SUM(G8:I8)</f>
        <v>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683F49-74E8-41C2-88EF-F9EA3BE371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Mosaddek H Sajeeb</dc:creator>
  <cp:lastModifiedBy>Ahmadul Karim Chowdhury</cp:lastModifiedBy>
  <dcterms:created xsi:type="dcterms:W3CDTF">2026-05-04T11:20:37Z</dcterms:created>
  <dcterms:modified xsi:type="dcterms:W3CDTF">2026-05-07T19:19:54Z</dcterms:modified>
</cp:coreProperties>
</file>