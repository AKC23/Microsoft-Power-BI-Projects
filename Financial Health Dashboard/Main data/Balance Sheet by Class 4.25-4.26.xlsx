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eelance\Upwork\Ahmadul Karim\13. PowerBI with Monday and QuickBook\QB Data\"/>
    </mc:Choice>
  </mc:AlternateContent>
  <xr:revisionPtr revIDLastSave="0" documentId="13_ncr:1_{4975CA02-46DB-473D-911F-84E5445681FE}" xr6:coauthVersionLast="47" xr6:coauthVersionMax="47" xr10:uidLastSave="{00000000-0000-0000-0000-000000000000}"/>
  <bookViews>
    <workbookView xWindow="20745" yWindow="150" windowWidth="18240" windowHeight="15045" firstSheet="1" activeTab="1" xr2:uid="{B7026538-47A1-4F70-92F0-DED9A36B88C0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Sheet1!$A:$F,Sheet1!$1:$1</definedName>
    <definedName name="QB_COLUMN_1210" localSheetId="1" hidden="1">Sheet1!$I$1</definedName>
    <definedName name="QB_COLUMN_14210" localSheetId="1" hidden="1">Sheet1!$Q$1</definedName>
    <definedName name="QB_COLUMN_15210" localSheetId="1" hidden="1">Sheet1!$W$1</definedName>
    <definedName name="QB_COLUMN_22210" localSheetId="1" hidden="1">Sheet1!$G$1</definedName>
    <definedName name="QB_COLUMN_3210" localSheetId="1" hidden="1">Sheet1!$K$1</definedName>
    <definedName name="QB_COLUMN_4210" localSheetId="1" hidden="1">Sheet1!$M$1</definedName>
    <definedName name="QB_COLUMN_42301" localSheetId="1" hidden="1">Sheet1!$AE$1</definedName>
    <definedName name="QB_COLUMN_45211" localSheetId="1" hidden="1">Sheet1!$AC$1</definedName>
    <definedName name="QB_COLUMN_5210" localSheetId="1" hidden="1">Sheet1!$O$1</definedName>
    <definedName name="QB_COLUMN_6210" localSheetId="1" hidden="1">Sheet1!$S$1</definedName>
    <definedName name="QB_COLUMN_7210" localSheetId="1" hidden="1">Sheet1!$U$1</definedName>
    <definedName name="QB_COLUMN_8210" localSheetId="1" hidden="1">Sheet1!$Y$1</definedName>
    <definedName name="QB_COLUMN_9210" localSheetId="1" hidden="1">Sheet1!$AA$1</definedName>
    <definedName name="QB_DATA_0" localSheetId="1" hidden="1">Sheet1!$5:$5,Sheet1!$6:$6,Sheet1!$7:$7,Sheet1!$8:$8,Sheet1!$9:$9,Sheet1!$10:$10,Sheet1!$11:$11,Sheet1!$12:$12,Sheet1!$15:$15,Sheet1!$16:$16,Sheet1!$19:$19,Sheet1!$20:$20,Sheet1!$21:$21,Sheet1!$22:$22,Sheet1!$26:$26,Sheet1!$27:$27</definedName>
    <definedName name="QB_DATA_1" localSheetId="1" hidden="1">Sheet1!$28:$28,Sheet1!$29:$29,Sheet1!$31:$31,Sheet1!$32:$32,Sheet1!$33:$33,Sheet1!$35:$35,Sheet1!$38:$38,Sheet1!$39:$39,Sheet1!$40:$40,Sheet1!$47:$47,Sheet1!$48:$48,Sheet1!$49:$49,Sheet1!$50:$50,Sheet1!$53:$53,Sheet1!$54:$54,Sheet1!$55:$55</definedName>
    <definedName name="QB_DATA_2" localSheetId="1" hidden="1">Sheet1!$56:$56,Sheet1!$57:$57,Sheet1!$58:$58,Sheet1!$59:$59,Sheet1!$60:$60,Sheet1!$63:$63,Sheet1!$64:$64,Sheet1!$66:$66,Sheet1!$67:$67,Sheet1!$68:$68,Sheet1!$69:$69,Sheet1!$71:$71,Sheet1!$72:$72,Sheet1!$74:$74,Sheet1!$75:$75,Sheet1!$76:$76</definedName>
    <definedName name="QB_DATA_3" localSheetId="1" hidden="1">Sheet1!$78:$78,Sheet1!$83:$83,Sheet1!$84:$84,Sheet1!$85:$85,Sheet1!$86:$86,Sheet1!$87:$87,Sheet1!$90:$90</definedName>
    <definedName name="QB_FORMULA_0" localSheetId="1" hidden="1">Sheet1!$AE$5,Sheet1!$AE$6,Sheet1!$AE$7,Sheet1!$AE$8,Sheet1!$AE$9,Sheet1!$AE$10,Sheet1!$AE$11,Sheet1!$AE$12,Sheet1!$G$13,Sheet1!$I$13,Sheet1!$K$13,Sheet1!$M$13,Sheet1!$O$13,Sheet1!$Q$13,Sheet1!$S$13,Sheet1!$U$13</definedName>
    <definedName name="QB_FORMULA_1" localSheetId="1" hidden="1">Sheet1!$W$13,Sheet1!$Y$13,Sheet1!$AA$13,Sheet1!$AC$13,Sheet1!$AE$13,Sheet1!$AE$15,Sheet1!$AE$16,Sheet1!$G$17,Sheet1!$I$17,Sheet1!$K$17,Sheet1!$M$17,Sheet1!$O$17,Sheet1!$Q$17,Sheet1!$S$17,Sheet1!$U$17,Sheet1!$W$17</definedName>
    <definedName name="QB_FORMULA_10" localSheetId="1" hidden="1">Sheet1!$S$61,Sheet1!$U$61,Sheet1!$W$61,Sheet1!$Y$61,Sheet1!$AA$61,Sheet1!$AC$61,Sheet1!$AE$61,Sheet1!$AE$63,Sheet1!$AE$64,Sheet1!$AE$66,Sheet1!$AE$67,Sheet1!$AE$68,Sheet1!$AE$69,Sheet1!$G$70,Sheet1!$I$70,Sheet1!$K$70</definedName>
    <definedName name="QB_FORMULA_11" localSheetId="1" hidden="1">Sheet1!$M$70,Sheet1!$O$70,Sheet1!$Q$70,Sheet1!$S$70,Sheet1!$U$70,Sheet1!$W$70,Sheet1!$Y$70,Sheet1!$AA$70,Sheet1!$AC$70,Sheet1!$AE$70,Sheet1!$AE$71,Sheet1!$AE$72,Sheet1!$AE$74,Sheet1!$AE$75,Sheet1!$AE$76,Sheet1!$G$77</definedName>
    <definedName name="QB_FORMULA_12" localSheetId="1" hidden="1">Sheet1!$I$77,Sheet1!$K$77,Sheet1!$M$77,Sheet1!$O$77,Sheet1!$Q$77,Sheet1!$S$77,Sheet1!$U$77,Sheet1!$W$77,Sheet1!$Y$77,Sheet1!$AA$77,Sheet1!$AC$77,Sheet1!$AE$77,Sheet1!$AE$78,Sheet1!$G$79,Sheet1!$I$79,Sheet1!$K$79</definedName>
    <definedName name="QB_FORMULA_13" localSheetId="1" hidden="1">Sheet1!$M$79,Sheet1!$O$79,Sheet1!$Q$79,Sheet1!$S$79,Sheet1!$U$79,Sheet1!$W$79,Sheet1!$Y$79,Sheet1!$AA$79,Sheet1!$AC$79,Sheet1!$AE$79,Sheet1!$G$80,Sheet1!$I$80,Sheet1!$K$80,Sheet1!$M$80,Sheet1!$O$80,Sheet1!$Q$80</definedName>
    <definedName name="QB_FORMULA_14" localSheetId="1" hidden="1">Sheet1!$S$80,Sheet1!$U$80,Sheet1!$W$80,Sheet1!$Y$80,Sheet1!$AA$80,Sheet1!$AC$80,Sheet1!$AE$80,Sheet1!$G$81,Sheet1!$I$81,Sheet1!$K$81,Sheet1!$M$81,Sheet1!$O$81,Sheet1!$Q$81,Sheet1!$S$81,Sheet1!$U$81,Sheet1!$W$81</definedName>
    <definedName name="QB_FORMULA_15" localSheetId="1" hidden="1">Sheet1!$Y$81,Sheet1!$AA$81,Sheet1!$AC$81,Sheet1!$AE$81,Sheet1!$AE$83,Sheet1!$AE$84,Sheet1!$AE$85,Sheet1!$AE$86,Sheet1!$AE$87,Sheet1!$G$88,Sheet1!$I$88,Sheet1!$K$88,Sheet1!$M$88,Sheet1!$O$88,Sheet1!$Q$88,Sheet1!$S$88</definedName>
    <definedName name="QB_FORMULA_16" localSheetId="1" hidden="1">Sheet1!$U$88,Sheet1!$W$88,Sheet1!$Y$88,Sheet1!$AA$88,Sheet1!$AC$88,Sheet1!$AE$88,Sheet1!$G$89,Sheet1!$I$89,Sheet1!$K$89,Sheet1!$M$89,Sheet1!$O$89,Sheet1!$Q$89,Sheet1!$S$89,Sheet1!$U$89,Sheet1!$W$89,Sheet1!$Y$89</definedName>
    <definedName name="QB_FORMULA_17" localSheetId="1" hidden="1">Sheet1!$AA$89,Sheet1!$AC$89,Sheet1!$AE$89,Sheet1!$AE$90</definedName>
    <definedName name="QB_FORMULA_2" localSheetId="1" hidden="1">Sheet1!$Y$17,Sheet1!$AA$17,Sheet1!$AC$17,Sheet1!$AE$17,Sheet1!$AE$19,Sheet1!$AE$20,Sheet1!$AE$21,Sheet1!$AE$22,Sheet1!$G$23,Sheet1!$I$23,Sheet1!$K$23,Sheet1!$M$23,Sheet1!$O$23,Sheet1!$Q$23,Sheet1!$S$23,Sheet1!$U$23</definedName>
    <definedName name="QB_FORMULA_3" localSheetId="1" hidden="1">Sheet1!$W$23,Sheet1!$Y$23,Sheet1!$AA$23,Sheet1!$AC$23,Sheet1!$AE$23,Sheet1!$G$24,Sheet1!$I$24,Sheet1!$K$24,Sheet1!$M$24,Sheet1!$O$24,Sheet1!$Q$24,Sheet1!$S$24,Sheet1!$U$24,Sheet1!$W$24,Sheet1!$Y$24,Sheet1!$AA$24</definedName>
    <definedName name="QB_FORMULA_4" localSheetId="1" hidden="1">Sheet1!$AC$24,Sheet1!$AE$24,Sheet1!$AE$26,Sheet1!$AE$27,Sheet1!$AE$28,Sheet1!$AE$29,Sheet1!$AE$31,Sheet1!$AE$32,Sheet1!$AE$33,Sheet1!$G$34,Sheet1!$I$34,Sheet1!$K$34,Sheet1!$M$34,Sheet1!$O$34,Sheet1!$Q$34,Sheet1!$S$34</definedName>
    <definedName name="QB_FORMULA_5" localSheetId="1" hidden="1">Sheet1!$U$34,Sheet1!$W$34,Sheet1!$Y$34,Sheet1!$AA$34,Sheet1!$AC$34,Sheet1!$AE$34,Sheet1!$AE$35,Sheet1!$G$36,Sheet1!$I$36,Sheet1!$K$36,Sheet1!$M$36,Sheet1!$O$36,Sheet1!$Q$36,Sheet1!$S$36,Sheet1!$U$36,Sheet1!$W$36</definedName>
    <definedName name="QB_FORMULA_6" localSheetId="1" hidden="1">Sheet1!$Y$36,Sheet1!$AA$36,Sheet1!$AC$36,Sheet1!$AE$36,Sheet1!$AE$38,Sheet1!$AE$39,Sheet1!$AE$40,Sheet1!$G$41,Sheet1!$I$41,Sheet1!$K$41,Sheet1!$M$41,Sheet1!$O$41,Sheet1!$Q$41,Sheet1!$S$41,Sheet1!$U$41,Sheet1!$W$41</definedName>
    <definedName name="QB_FORMULA_7" localSheetId="1" hidden="1">Sheet1!$Y$41,Sheet1!$AA$41,Sheet1!$AC$41,Sheet1!$AE$41,Sheet1!$G$42,Sheet1!$I$42,Sheet1!$K$42,Sheet1!$M$42,Sheet1!$O$42,Sheet1!$Q$42,Sheet1!$S$42,Sheet1!$U$42,Sheet1!$W$42,Sheet1!$Y$42,Sheet1!$AA$42,Sheet1!$AC$42</definedName>
    <definedName name="QB_FORMULA_8" localSheetId="1" hidden="1">Sheet1!$AE$42,Sheet1!$AE$47,Sheet1!$AE$48,Sheet1!$AE$49,Sheet1!$AE$50,Sheet1!$G$51,Sheet1!$I$51,Sheet1!$K$51,Sheet1!$M$51,Sheet1!$O$51,Sheet1!$Q$51,Sheet1!$S$51,Sheet1!$U$51,Sheet1!$W$51,Sheet1!$Y$51,Sheet1!$AA$51</definedName>
    <definedName name="QB_FORMULA_9" localSheetId="1" hidden="1">Sheet1!$AC$51,Sheet1!$AE$51,Sheet1!$AE$53,Sheet1!$AE$54,Sheet1!$AE$55,Sheet1!$AE$56,Sheet1!$AE$57,Sheet1!$AE$58,Sheet1!$AE$59,Sheet1!$AE$60,Sheet1!$G$61,Sheet1!$I$61,Sheet1!$K$61,Sheet1!$M$61,Sheet1!$O$61,Sheet1!$Q$61</definedName>
    <definedName name="QB_ROW_1" localSheetId="1" hidden="1">Sheet1!$A$2</definedName>
    <definedName name="QB_ROW_10031" localSheetId="1" hidden="1">Sheet1!$D$46</definedName>
    <definedName name="QB_ROW_1011" localSheetId="1" hidden="1">Sheet1!$B$3</definedName>
    <definedName name="QB_ROW_10230" localSheetId="1" hidden="1">Sheet1!$D$11</definedName>
    <definedName name="QB_ROW_10331" localSheetId="1" hidden="1">Sheet1!$D$51</definedName>
    <definedName name="QB_ROW_11031" localSheetId="1" hidden="1">Sheet1!$D$52</definedName>
    <definedName name="QB_ROW_11331" localSheetId="1" hidden="1">Sheet1!$D$61</definedName>
    <definedName name="QB_ROW_12031" localSheetId="1" hidden="1">Sheet1!$D$62</definedName>
    <definedName name="QB_ROW_12331" localSheetId="1" hidden="1">Sheet1!$D$79</definedName>
    <definedName name="QB_ROW_1311" localSheetId="1" hidden="1">Sheet1!$B$24</definedName>
    <definedName name="QB_ROW_13230" localSheetId="1" hidden="1">Sheet1!$D$15</definedName>
    <definedName name="QB_ROW_14011" localSheetId="1" hidden="1">Sheet1!$B$82</definedName>
    <definedName name="QB_ROW_14311" localSheetId="1" hidden="1">Sheet1!$B$88</definedName>
    <definedName name="QB_ROW_15230" localSheetId="1" hidden="1">Sheet1!$D$21</definedName>
    <definedName name="QB_ROW_156240" localSheetId="1" hidden="1">Sheet1!$E$48</definedName>
    <definedName name="QB_ROW_158220" localSheetId="1" hidden="1">Sheet1!$C$40</definedName>
    <definedName name="QB_ROW_161230" localSheetId="1" hidden="1">Sheet1!$D$19</definedName>
    <definedName name="QB_ROW_162240" localSheetId="1" hidden="1">Sheet1!$E$50</definedName>
    <definedName name="QB_ROW_164240" localSheetId="1" hidden="1">Sheet1!$E$49</definedName>
    <definedName name="QB_ROW_166220" localSheetId="1" hidden="1">Sheet1!$C$86</definedName>
    <definedName name="QB_ROW_171220" localSheetId="1" hidden="1">Sheet1!$C$39</definedName>
    <definedName name="QB_ROW_17221" localSheetId="1" hidden="1">Sheet1!$C$87</definedName>
    <definedName name="QB_ROW_17230" localSheetId="1" hidden="1">Sheet1!$D$20</definedName>
    <definedName name="QB_ROW_173220" localSheetId="1" hidden="1">Sheet1!$C$35</definedName>
    <definedName name="QB_ROW_174240" localSheetId="1" hidden="1">Sheet1!$E$63</definedName>
    <definedName name="QB_ROW_180230" localSheetId="1" hidden="1">Sheet1!$D$7</definedName>
    <definedName name="QB_ROW_181240" localSheetId="1" hidden="1">Sheet1!$E$58</definedName>
    <definedName name="QB_ROW_184230" localSheetId="1" hidden="1">Sheet1!$D$8</definedName>
    <definedName name="QB_ROW_185220" localSheetId="1" hidden="1">Sheet1!$C$83</definedName>
    <definedName name="QB_ROW_196250" localSheetId="1" hidden="1">Sheet1!$F$67</definedName>
    <definedName name="QB_ROW_197040" localSheetId="1" hidden="1">Sheet1!$E$65</definedName>
    <definedName name="QB_ROW_197340" localSheetId="1" hidden="1">Sheet1!$E$70</definedName>
    <definedName name="QB_ROW_198250" localSheetId="1" hidden="1">Sheet1!$F$68</definedName>
    <definedName name="QB_ROW_199250" localSheetId="1" hidden="1">Sheet1!$F$69</definedName>
    <definedName name="QB_ROW_200220" localSheetId="1" hidden="1">Sheet1!$C$27</definedName>
    <definedName name="QB_ROW_2021" localSheetId="1" hidden="1">Sheet1!$C$4</definedName>
    <definedName name="QB_ROW_202250" localSheetId="1" hidden="1">Sheet1!$F$66</definedName>
    <definedName name="QB_ROW_203240" localSheetId="1" hidden="1">Sheet1!$E$72</definedName>
    <definedName name="QB_ROW_206230" localSheetId="1" hidden="1">Sheet1!$D$5</definedName>
    <definedName name="QB_ROW_207230" localSheetId="1" hidden="1">Sheet1!$D$12</definedName>
    <definedName name="QB_ROW_208230" localSheetId="1" hidden="1">Sheet1!$D$6</definedName>
    <definedName name="QB_ROW_214230" localSheetId="1" hidden="1">Sheet1!$D$22</definedName>
    <definedName name="QB_ROW_220240" localSheetId="1" hidden="1">Sheet1!$E$64</definedName>
    <definedName name="QB_ROW_221230" localSheetId="1" hidden="1">Sheet1!$D$16</definedName>
    <definedName name="QB_ROW_2220" localSheetId="1" hidden="1">Sheet1!$C$85</definedName>
    <definedName name="QB_ROW_22220" localSheetId="1" hidden="1">Sheet1!$C$28</definedName>
    <definedName name="QB_ROW_2321" localSheetId="1" hidden="1">Sheet1!$C$13</definedName>
    <definedName name="QB_ROW_23220" localSheetId="1" hidden="1">Sheet1!$C$29</definedName>
    <definedName name="QB_ROW_24020" localSheetId="1" hidden="1">Sheet1!$C$30</definedName>
    <definedName name="QB_ROW_24230" localSheetId="1" hidden="1">Sheet1!$D$33</definedName>
    <definedName name="QB_ROW_24320" localSheetId="1" hidden="1">Sheet1!$C$34</definedName>
    <definedName name="QB_ROW_25230" localSheetId="1" hidden="1">Sheet1!$D$31</definedName>
    <definedName name="QB_ROW_26230" localSheetId="1" hidden="1">Sheet1!$D$32</definedName>
    <definedName name="QB_ROW_28220" localSheetId="1" hidden="1">Sheet1!$C$26</definedName>
    <definedName name="QB_ROW_29220" localSheetId="1" hidden="1">Sheet1!$C$38</definedName>
    <definedName name="QB_ROW_301" localSheetId="1" hidden="1">Sheet1!$A$42</definedName>
    <definedName name="QB_ROW_3021" localSheetId="1" hidden="1">Sheet1!$C$14</definedName>
    <definedName name="QB_ROW_30240" localSheetId="1" hidden="1">Sheet1!$E$47</definedName>
    <definedName name="QB_ROW_3321" localSheetId="1" hidden="1">Sheet1!$C$17</definedName>
    <definedName name="QB_ROW_4021" localSheetId="1" hidden="1">Sheet1!$C$18</definedName>
    <definedName name="QB_ROW_40240" localSheetId="1" hidden="1">Sheet1!$E$54</definedName>
    <definedName name="QB_ROW_41240" localSheetId="1" hidden="1">Sheet1!$E$55</definedName>
    <definedName name="QB_ROW_42240" localSheetId="1" hidden="1">Sheet1!$E$56</definedName>
    <definedName name="QB_ROW_4321" localSheetId="1" hidden="1">Sheet1!$C$23</definedName>
    <definedName name="QB_ROW_43240" localSheetId="1" hidden="1">Sheet1!$E$60</definedName>
    <definedName name="QB_ROW_44240" localSheetId="1" hidden="1">Sheet1!$E$53</definedName>
    <definedName name="QB_ROW_45240" localSheetId="1" hidden="1">Sheet1!$E$59</definedName>
    <definedName name="QB_ROW_46240" localSheetId="1" hidden="1">Sheet1!$E$57</definedName>
    <definedName name="QB_ROW_5011" localSheetId="1" hidden="1">Sheet1!$B$25</definedName>
    <definedName name="QB_ROW_52240" localSheetId="1" hidden="1">Sheet1!$E$71</definedName>
    <definedName name="QB_ROW_5311" localSheetId="1" hidden="1">Sheet1!$B$36</definedName>
    <definedName name="QB_ROW_59240" localSheetId="1" hidden="1">Sheet1!$E$78</definedName>
    <definedName name="QB_ROW_6011" localSheetId="1" hidden="1">Sheet1!$B$37</definedName>
    <definedName name="QB_ROW_6230" localSheetId="1" hidden="1">Sheet1!$D$9</definedName>
    <definedName name="QB_ROW_6311" localSheetId="1" hidden="1">Sheet1!$B$41</definedName>
    <definedName name="QB_ROW_63201" localSheetId="1" hidden="1">Sheet1!$A$90</definedName>
    <definedName name="QB_ROW_68040" localSheetId="1" hidden="1">Sheet1!$E$73</definedName>
    <definedName name="QB_ROW_68250" localSheetId="1" hidden="1">Sheet1!$F$76</definedName>
    <definedName name="QB_ROW_68340" localSheetId="1" hidden="1">Sheet1!$E$77</definedName>
    <definedName name="QB_ROW_69250" localSheetId="1" hidden="1">Sheet1!$F$74</definedName>
    <definedName name="QB_ROW_7001" localSheetId="1" hidden="1">Sheet1!$A$43</definedName>
    <definedName name="QB_ROW_71250" localSheetId="1" hidden="1">Sheet1!$F$75</definedName>
    <definedName name="QB_ROW_7230" localSheetId="1" hidden="1">Sheet1!$D$10</definedName>
    <definedName name="QB_ROW_7301" localSheetId="1" hidden="1">Sheet1!$A$89</definedName>
    <definedName name="QB_ROW_8011" localSheetId="1" hidden="1">Sheet1!$B$44</definedName>
    <definedName name="QB_ROW_8311" localSheetId="1" hidden="1">Sheet1!$B$81</definedName>
    <definedName name="QB_ROW_83220" localSheetId="1" hidden="1">Sheet1!$C$84</definedName>
    <definedName name="QB_ROW_9021" localSheetId="1" hidden="1">Sheet1!$C$45</definedName>
    <definedName name="QB_ROW_9321" localSheetId="1" hidden="1">Sheet1!$C$80</definedName>
    <definedName name="QBCANSUPPORTUPDATE" localSheetId="1">TRUE</definedName>
    <definedName name="QBCOMPANYFILENAME" localSheetId="1">"D:\Client Data\Jennifer Gunn\Full Sail\Full Sail 2024 Final.qbw"</definedName>
    <definedName name="QBENDDATE" localSheetId="1">20260430</definedName>
    <definedName name="QBHEADERSONSCREEN" localSheetId="1">FALSE</definedName>
    <definedName name="QBMETADATASIZE" localSheetId="1">6153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19</definedName>
    <definedName name="QBREPORTCOMPANYID" localSheetId="1">"bbe4db3a439e4640afc38e6b250519cf"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9</definedName>
    <definedName name="QBREPORTSUBCOLAXIS" localSheetId="1">0</definedName>
    <definedName name="QBREPORTTYPE" localSheetId="1">392</definedName>
    <definedName name="QBROWHEADERS" localSheetId="1">6</definedName>
    <definedName name="QBSTARTDATE" localSheetId="1">20250401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0" i="1" l="1"/>
  <c r="AC88" i="1"/>
  <c r="AA88" i="1"/>
  <c r="Y88" i="1"/>
  <c r="W88" i="1"/>
  <c r="U88" i="1"/>
  <c r="S88" i="1"/>
  <c r="Q88" i="1"/>
  <c r="O88" i="1"/>
  <c r="M88" i="1"/>
  <c r="K88" i="1"/>
  <c r="I88" i="1"/>
  <c r="G88" i="1"/>
  <c r="AE88" i="1" s="1"/>
  <c r="AE87" i="1"/>
  <c r="AE86" i="1"/>
  <c r="AE85" i="1"/>
  <c r="AE84" i="1"/>
  <c r="AE83" i="1"/>
  <c r="AE78" i="1"/>
  <c r="AC77" i="1"/>
  <c r="AA77" i="1"/>
  <c r="Y77" i="1"/>
  <c r="W77" i="1"/>
  <c r="U77" i="1"/>
  <c r="S77" i="1"/>
  <c r="Q77" i="1"/>
  <c r="O77" i="1"/>
  <c r="M77" i="1"/>
  <c r="K77" i="1"/>
  <c r="I77" i="1"/>
  <c r="G77" i="1"/>
  <c r="AE77" i="1" s="1"/>
  <c r="AE76" i="1"/>
  <c r="AE75" i="1"/>
  <c r="AE74" i="1"/>
  <c r="AE72" i="1"/>
  <c r="AE71" i="1"/>
  <c r="AC70" i="1"/>
  <c r="AC79" i="1" s="1"/>
  <c r="AA70" i="1"/>
  <c r="AA79" i="1" s="1"/>
  <c r="Y70" i="1"/>
  <c r="Y79" i="1" s="1"/>
  <c r="W70" i="1"/>
  <c r="W79" i="1" s="1"/>
  <c r="U70" i="1"/>
  <c r="U79" i="1" s="1"/>
  <c r="S70" i="1"/>
  <c r="S79" i="1" s="1"/>
  <c r="Q70" i="1"/>
  <c r="Q79" i="1" s="1"/>
  <c r="O70" i="1"/>
  <c r="O79" i="1" s="1"/>
  <c r="M70" i="1"/>
  <c r="M79" i="1" s="1"/>
  <c r="K70" i="1"/>
  <c r="K79" i="1" s="1"/>
  <c r="I70" i="1"/>
  <c r="I79" i="1" s="1"/>
  <c r="G70" i="1"/>
  <c r="AE70" i="1" s="1"/>
  <c r="AE69" i="1"/>
  <c r="AE68" i="1"/>
  <c r="AE67" i="1"/>
  <c r="AE66" i="1"/>
  <c r="AE64" i="1"/>
  <c r="AE63" i="1"/>
  <c r="AC61" i="1"/>
  <c r="AA61" i="1"/>
  <c r="Y61" i="1"/>
  <c r="W61" i="1"/>
  <c r="U61" i="1"/>
  <c r="S61" i="1"/>
  <c r="Q61" i="1"/>
  <c r="O61" i="1"/>
  <c r="O80" i="1" s="1"/>
  <c r="O81" i="1" s="1"/>
  <c r="O89" i="1" s="1"/>
  <c r="M61" i="1"/>
  <c r="K61" i="1"/>
  <c r="AE61" i="1" s="1"/>
  <c r="I61" i="1"/>
  <c r="G61" i="1"/>
  <c r="AE60" i="1"/>
  <c r="AE59" i="1"/>
  <c r="AE58" i="1"/>
  <c r="AE57" i="1"/>
  <c r="AE56" i="1"/>
  <c r="AE55" i="1"/>
  <c r="AE54" i="1"/>
  <c r="AE53" i="1"/>
  <c r="AC51" i="1"/>
  <c r="AC80" i="1" s="1"/>
  <c r="AC81" i="1" s="1"/>
  <c r="AC89" i="1" s="1"/>
  <c r="AA51" i="1"/>
  <c r="Y51" i="1"/>
  <c r="W51" i="1"/>
  <c r="U51" i="1"/>
  <c r="U80" i="1" s="1"/>
  <c r="U81" i="1" s="1"/>
  <c r="U89" i="1" s="1"/>
  <c r="S51" i="1"/>
  <c r="S80" i="1" s="1"/>
  <c r="S81" i="1" s="1"/>
  <c r="S89" i="1" s="1"/>
  <c r="Q51" i="1"/>
  <c r="Q80" i="1" s="1"/>
  <c r="Q81" i="1" s="1"/>
  <c r="Q89" i="1" s="1"/>
  <c r="O51" i="1"/>
  <c r="M51" i="1"/>
  <c r="M80" i="1" s="1"/>
  <c r="M81" i="1" s="1"/>
  <c r="M89" i="1" s="1"/>
  <c r="K51" i="1"/>
  <c r="I51" i="1"/>
  <c r="G51" i="1"/>
  <c r="AE50" i="1"/>
  <c r="AE49" i="1"/>
  <c r="AE48" i="1"/>
  <c r="AE47" i="1"/>
  <c r="AC41" i="1"/>
  <c r="AA41" i="1"/>
  <c r="Y41" i="1"/>
  <c r="W41" i="1"/>
  <c r="U41" i="1"/>
  <c r="S41" i="1"/>
  <c r="Q41" i="1"/>
  <c r="O41" i="1"/>
  <c r="M41" i="1"/>
  <c r="K41" i="1"/>
  <c r="I41" i="1"/>
  <c r="G41" i="1"/>
  <c r="AE41" i="1" s="1"/>
  <c r="AE40" i="1"/>
  <c r="AE39" i="1"/>
  <c r="AE38" i="1"/>
  <c r="U36" i="1"/>
  <c r="Q36" i="1"/>
  <c r="AE35" i="1"/>
  <c r="AC34" i="1"/>
  <c r="AC36" i="1" s="1"/>
  <c r="AA34" i="1"/>
  <c r="AA36" i="1" s="1"/>
  <c r="Y34" i="1"/>
  <c r="Y36" i="1" s="1"/>
  <c r="W34" i="1"/>
  <c r="W36" i="1" s="1"/>
  <c r="U34" i="1"/>
  <c r="S34" i="1"/>
  <c r="S36" i="1" s="1"/>
  <c r="Q34" i="1"/>
  <c r="O34" i="1"/>
  <c r="O36" i="1" s="1"/>
  <c r="M34" i="1"/>
  <c r="M36" i="1" s="1"/>
  <c r="K34" i="1"/>
  <c r="K36" i="1" s="1"/>
  <c r="I34" i="1"/>
  <c r="I36" i="1" s="1"/>
  <c r="G34" i="1"/>
  <c r="G36" i="1" s="1"/>
  <c r="AE36" i="1" s="1"/>
  <c r="AE33" i="1"/>
  <c r="AE32" i="1"/>
  <c r="AE31" i="1"/>
  <c r="AE29" i="1"/>
  <c r="AE28" i="1"/>
  <c r="AE27" i="1"/>
  <c r="AE26" i="1"/>
  <c r="Y24" i="1"/>
  <c r="Y42" i="1" s="1"/>
  <c r="U24" i="1"/>
  <c r="U42" i="1" s="1"/>
  <c r="I24" i="1"/>
  <c r="AC23" i="1"/>
  <c r="AA23" i="1"/>
  <c r="Y23" i="1"/>
  <c r="W23" i="1"/>
  <c r="U23" i="1"/>
  <c r="S23" i="1"/>
  <c r="Q23" i="1"/>
  <c r="O23" i="1"/>
  <c r="AE23" i="1" s="1"/>
  <c r="M23" i="1"/>
  <c r="K23" i="1"/>
  <c r="I23" i="1"/>
  <c r="G23" i="1"/>
  <c r="AE22" i="1"/>
  <c r="AE21" i="1"/>
  <c r="AE20" i="1"/>
  <c r="AE19" i="1"/>
  <c r="AC17" i="1"/>
  <c r="AA17" i="1"/>
  <c r="Y17" i="1"/>
  <c r="W17" i="1"/>
  <c r="U17" i="1"/>
  <c r="S17" i="1"/>
  <c r="Q17" i="1"/>
  <c r="O17" i="1"/>
  <c r="M17" i="1"/>
  <c r="K17" i="1"/>
  <c r="I17" i="1"/>
  <c r="G17" i="1"/>
  <c r="AE17" i="1" s="1"/>
  <c r="AE16" i="1"/>
  <c r="AE15" i="1"/>
  <c r="AC13" i="1"/>
  <c r="AC24" i="1" s="1"/>
  <c r="AC42" i="1" s="1"/>
  <c r="AA13" i="1"/>
  <c r="AA24" i="1" s="1"/>
  <c r="Y13" i="1"/>
  <c r="W13" i="1"/>
  <c r="W24" i="1" s="1"/>
  <c r="U13" i="1"/>
  <c r="S13" i="1"/>
  <c r="S24" i="1" s="1"/>
  <c r="S42" i="1" s="1"/>
  <c r="Q13" i="1"/>
  <c r="Q24" i="1" s="1"/>
  <c r="Q42" i="1" s="1"/>
  <c r="O13" i="1"/>
  <c r="O24" i="1" s="1"/>
  <c r="O42" i="1" s="1"/>
  <c r="M13" i="1"/>
  <c r="M24" i="1" s="1"/>
  <c r="M42" i="1" s="1"/>
  <c r="K13" i="1"/>
  <c r="K24" i="1" s="1"/>
  <c r="K42" i="1" s="1"/>
  <c r="I13" i="1"/>
  <c r="G13" i="1"/>
  <c r="G24" i="1" s="1"/>
  <c r="AE12" i="1"/>
  <c r="AE11" i="1"/>
  <c r="AE10" i="1"/>
  <c r="AE9" i="1"/>
  <c r="AE8" i="1"/>
  <c r="AE7" i="1"/>
  <c r="AE6" i="1"/>
  <c r="AE5" i="1"/>
  <c r="AA80" i="1" l="1"/>
  <c r="AA81" i="1" s="1"/>
  <c r="AA89" i="1" s="1"/>
  <c r="I80" i="1"/>
  <c r="I81" i="1" s="1"/>
  <c r="I89" i="1" s="1"/>
  <c r="Y80" i="1"/>
  <c r="Y81" i="1" s="1"/>
  <c r="Y89" i="1" s="1"/>
  <c r="AE24" i="1"/>
  <c r="G42" i="1"/>
  <c r="AE42" i="1" s="1"/>
  <c r="W42" i="1"/>
  <c r="W80" i="1"/>
  <c r="W81" i="1" s="1"/>
  <c r="W89" i="1" s="1"/>
  <c r="AA42" i="1"/>
  <c r="I42" i="1"/>
  <c r="K80" i="1"/>
  <c r="K81" i="1" s="1"/>
  <c r="K89" i="1" s="1"/>
  <c r="AE34" i="1"/>
  <c r="G79" i="1"/>
  <c r="AE79" i="1" s="1"/>
  <c r="AE13" i="1"/>
  <c r="AE51" i="1"/>
  <c r="G80" i="1" l="1"/>
  <c r="AE80" i="1" l="1"/>
  <c r="G81" i="1"/>
  <c r="AE81" i="1" l="1"/>
  <c r="G89" i="1"/>
  <c r="AE89" i="1" s="1"/>
</calcChain>
</file>

<file path=xl/sharedStrings.xml><?xml version="1.0" encoding="utf-8"?>
<sst xmlns="http://schemas.openxmlformats.org/spreadsheetml/2006/main" count="102" uniqueCount="100">
  <si>
    <t>ADA</t>
  </si>
  <si>
    <t>Aquatec</t>
  </si>
  <si>
    <t>CADIZ</t>
  </si>
  <si>
    <t>FLL</t>
  </si>
  <si>
    <t>Flood Repairs</t>
  </si>
  <si>
    <t>FSM</t>
  </si>
  <si>
    <t>Parts</t>
  </si>
  <si>
    <t>PCN</t>
  </si>
  <si>
    <t>S&amp;M LLC</t>
  </si>
  <si>
    <t>Skyward</t>
  </si>
  <si>
    <t>Tax</t>
  </si>
  <si>
    <t>Unclassified</t>
  </si>
  <si>
    <t>TOTAL</t>
  </si>
  <si>
    <t>ASSETS</t>
  </si>
  <si>
    <t>Current Assets</t>
  </si>
  <si>
    <t>Checking/Savings</t>
  </si>
  <si>
    <t>Aqua Checking</t>
  </si>
  <si>
    <t>FSM Chase CD</t>
  </si>
  <si>
    <t>FSM Chase Checking</t>
  </si>
  <si>
    <t>FSM Chase Savings</t>
  </si>
  <si>
    <t>FSM Checking</t>
  </si>
  <si>
    <t>FSM Savings</t>
  </si>
  <si>
    <t>Petty Cash</t>
  </si>
  <si>
    <t>Sky Checking</t>
  </si>
  <si>
    <t>Total Checking/Savings</t>
  </si>
  <si>
    <t>Accounts Receivable</t>
  </si>
  <si>
    <t>Accounts Receivable - EUR</t>
  </si>
  <si>
    <t>Total Accounts Receivable</t>
  </si>
  <si>
    <t>Other Current Assets</t>
  </si>
  <si>
    <t>Employee Advance</t>
  </si>
  <si>
    <t>Inventory Asset</t>
  </si>
  <si>
    <t>Prepaid Federal Income Tax</t>
  </si>
  <si>
    <t>Project Start Payments</t>
  </si>
  <si>
    <t>Total Other Current Assets</t>
  </si>
  <si>
    <t>Total Current Assets</t>
  </si>
  <si>
    <t>Fixed Assets</t>
  </si>
  <si>
    <t>Accumulated Depreciation</t>
  </si>
  <si>
    <t>Building</t>
  </si>
  <si>
    <t>Furniture and Equipment</t>
  </si>
  <si>
    <t>Machinery &amp; Equipment</t>
  </si>
  <si>
    <t>Vehicles</t>
  </si>
  <si>
    <t>(2004) Dodge Ram 1500</t>
  </si>
  <si>
    <t>(2019) Subaru Ascent Touring</t>
  </si>
  <si>
    <t>Vehicles - Other</t>
  </si>
  <si>
    <t>Total Vehicles</t>
  </si>
  <si>
    <t>Vehicles - Dodge Ram 1500</t>
  </si>
  <si>
    <t>Total Fixed Assets</t>
  </si>
  <si>
    <t>Other Assets</t>
  </si>
  <si>
    <t>Leasehold Improvements</t>
  </si>
  <si>
    <t>Pending</t>
  </si>
  <si>
    <t>Security Deposits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</si>
  <si>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</si>
  <si>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</si>
  <si>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</si>
  <si>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</si>
  <si>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</si>
  <si>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</si>
  <si>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Accounts Payable - EUR</t>
  </si>
  <si>
    <t>Accounts Payable - GBP</t>
  </si>
  <si>
    <t>Accounts Payable - SEK</t>
  </si>
  <si>
    <t>Total Accounts Payable</t>
  </si>
  <si>
    <t>Credit Cards</t>
  </si>
  <si>
    <t>2135 SD CAPM 6607</t>
  </si>
  <si>
    <t>AmEx Blue</t>
  </si>
  <si>
    <t>AmEx Clear</t>
  </si>
  <si>
    <t>AmEx Plum</t>
  </si>
  <si>
    <t>BOA MasterCard 0450</t>
  </si>
  <si>
    <t>Chase Card 4167</t>
  </si>
  <si>
    <t>Citi MasterCard</t>
  </si>
  <si>
    <t>MD CAPV 4602</t>
  </si>
  <si>
    <t>Total Credit Cards</t>
  </si>
  <si>
    <t>Other Current Liabilities</t>
  </si>
  <si>
    <t>FL State Corp Tax Payable</t>
  </si>
  <si>
    <t>FSM Line Of Credit</t>
  </si>
  <si>
    <t>Intercompany</t>
  </si>
  <si>
    <t>Loan from FSM</t>
  </si>
  <si>
    <t>Loan from S&amp;M</t>
  </si>
  <si>
    <t>Loan to FSM</t>
  </si>
  <si>
    <t>Loan to S&amp;M</t>
  </si>
  <si>
    <t>Total Intercompany</t>
  </si>
  <si>
    <t>L/P -  SMDickson</t>
  </si>
  <si>
    <t>Loan from Shareholder</t>
  </si>
  <si>
    <t>Payroll Liabilities</t>
  </si>
  <si>
    <t>Medicare</t>
  </si>
  <si>
    <t>Social Sec</t>
  </si>
  <si>
    <t>Payroll Liabilities - Other</t>
  </si>
  <si>
    <t>Total Payroll Liabilities</t>
  </si>
  <si>
    <t>Sales Tax Payable</t>
  </si>
  <si>
    <t>Total Other Current Liabilities</t>
  </si>
  <si>
    <t>Total Current Liabilities</t>
  </si>
  <si>
    <t>Total Liabilities</t>
  </si>
  <si>
    <t>Equity</t>
  </si>
  <si>
    <t>Katie's Share Purchase</t>
  </si>
  <si>
    <t>Paid In Capital</t>
  </si>
  <si>
    <t>Retained Earnings</t>
  </si>
  <si>
    <t>Shawn and Marial Distribution</t>
  </si>
  <si>
    <t>Net Income</t>
  </si>
  <si>
    <t>Total Equity</t>
  </si>
  <si>
    <t>TOTAL LIABILITIES &amp; EQUITY</t>
  </si>
  <si>
    <t>UNBALANCED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</si>
</sst>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5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72BA4064-68D6-475A-BF4B-ECD382F1B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86BD796-3947-450F-907E-7C6F17FF6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95250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95250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AEC3-BE05-4101-99BD-CC51E40BCCE5}">
  <dimension ref="B1:C40"/>
  <sheetViews>
    <sheetView showGridLines="0" zoomScale="84" zoomScaleNormal="84" workbookViewId="0"/>
  </sheetViews>
  <sheetFormatPr defaultRowHeight="15" x14ac:dyDescent="0.25"/>
  <cols>
    <col min="1" max="1" width="3" style="13" customWidth="1"/>
    <col min="2" max="2" width="4.140625" style="13" customWidth="1"/>
    <col min="3" max="3" width="54" style="13" customWidth="1"/>
    <col min="4" max="4" width="3.7109375" style="13" customWidth="1"/>
    <col min="5" max="5" width="90.28515625" style="13" customWidth="1"/>
    <col min="6" max="7" width="8.85546875" style="13"/>
    <col min="8" max="8" width="15.42578125" style="13" customWidth="1"/>
    <col min="9" max="9" width="5.140625" style="13" customWidth="1"/>
    <col min="10" max="11" width="8.85546875" style="13"/>
    <col min="12" max="12" width="3" style="13" customWidth="1"/>
    <col min="13" max="15" width="8.85546875" style="13"/>
    <col min="16" max="16" width="7" style="13" customWidth="1"/>
    <col min="17" max="256" width="8.85546875" style="13"/>
    <col min="257" max="257" width="3" style="13" customWidth="1"/>
    <col min="258" max="258" width="4.140625" style="13" customWidth="1"/>
    <col min="259" max="259" width="54" style="13" customWidth="1"/>
    <col min="260" max="260" width="3.7109375" style="13" customWidth="1"/>
    <col min="261" max="261" width="90.28515625" style="13" customWidth="1"/>
    <col min="262" max="263" width="8.85546875" style="13"/>
    <col min="264" max="264" width="15.42578125" style="13" customWidth="1"/>
    <col min="265" max="265" width="5.140625" style="13" customWidth="1"/>
    <col min="266" max="267" width="8.85546875" style="13"/>
    <col min="268" max="268" width="3" style="13" customWidth="1"/>
    <col min="269" max="271" width="8.85546875" style="13"/>
    <col min="272" max="272" width="7" style="13" customWidth="1"/>
    <col min="273" max="512" width="8.85546875" style="13"/>
    <col min="513" max="513" width="3" style="13" customWidth="1"/>
    <col min="514" max="514" width="4.140625" style="13" customWidth="1"/>
    <col min="515" max="515" width="54" style="13" customWidth="1"/>
    <col min="516" max="516" width="3.7109375" style="13" customWidth="1"/>
    <col min="517" max="517" width="90.28515625" style="13" customWidth="1"/>
    <col min="518" max="519" width="8.85546875" style="13"/>
    <col min="520" max="520" width="15.42578125" style="13" customWidth="1"/>
    <col min="521" max="521" width="5.140625" style="13" customWidth="1"/>
    <col min="522" max="523" width="8.85546875" style="13"/>
    <col min="524" max="524" width="3" style="13" customWidth="1"/>
    <col min="525" max="527" width="8.85546875" style="13"/>
    <col min="528" max="528" width="7" style="13" customWidth="1"/>
    <col min="529" max="768" width="8.85546875" style="13"/>
    <col min="769" max="769" width="3" style="13" customWidth="1"/>
    <col min="770" max="770" width="4.140625" style="13" customWidth="1"/>
    <col min="771" max="771" width="54" style="13" customWidth="1"/>
    <col min="772" max="772" width="3.7109375" style="13" customWidth="1"/>
    <col min="773" max="773" width="90.28515625" style="13" customWidth="1"/>
    <col min="774" max="775" width="8.85546875" style="13"/>
    <col min="776" max="776" width="15.42578125" style="13" customWidth="1"/>
    <col min="777" max="777" width="5.140625" style="13" customWidth="1"/>
    <col min="778" max="779" width="8.85546875" style="13"/>
    <col min="780" max="780" width="3" style="13" customWidth="1"/>
    <col min="781" max="783" width="8.85546875" style="13"/>
    <col min="784" max="784" width="7" style="13" customWidth="1"/>
    <col min="785" max="1024" width="8.85546875" style="13"/>
    <col min="1025" max="1025" width="3" style="13" customWidth="1"/>
    <col min="1026" max="1026" width="4.140625" style="13" customWidth="1"/>
    <col min="1027" max="1027" width="54" style="13" customWidth="1"/>
    <col min="1028" max="1028" width="3.7109375" style="13" customWidth="1"/>
    <col min="1029" max="1029" width="90.28515625" style="13" customWidth="1"/>
    <col min="1030" max="1031" width="8.85546875" style="13"/>
    <col min="1032" max="1032" width="15.42578125" style="13" customWidth="1"/>
    <col min="1033" max="1033" width="5.140625" style="13" customWidth="1"/>
    <col min="1034" max="1035" width="8.85546875" style="13"/>
    <col min="1036" max="1036" width="3" style="13" customWidth="1"/>
    <col min="1037" max="1039" width="8.85546875" style="13"/>
    <col min="1040" max="1040" width="7" style="13" customWidth="1"/>
    <col min="1041" max="1280" width="8.85546875" style="13"/>
    <col min="1281" max="1281" width="3" style="13" customWidth="1"/>
    <col min="1282" max="1282" width="4.140625" style="13" customWidth="1"/>
    <col min="1283" max="1283" width="54" style="13" customWidth="1"/>
    <col min="1284" max="1284" width="3.7109375" style="13" customWidth="1"/>
    <col min="1285" max="1285" width="90.28515625" style="13" customWidth="1"/>
    <col min="1286" max="1287" width="8.85546875" style="13"/>
    <col min="1288" max="1288" width="15.42578125" style="13" customWidth="1"/>
    <col min="1289" max="1289" width="5.140625" style="13" customWidth="1"/>
    <col min="1290" max="1291" width="8.85546875" style="13"/>
    <col min="1292" max="1292" width="3" style="13" customWidth="1"/>
    <col min="1293" max="1295" width="8.85546875" style="13"/>
    <col min="1296" max="1296" width="7" style="13" customWidth="1"/>
    <col min="1297" max="1536" width="8.85546875" style="13"/>
    <col min="1537" max="1537" width="3" style="13" customWidth="1"/>
    <col min="1538" max="1538" width="4.140625" style="13" customWidth="1"/>
    <col min="1539" max="1539" width="54" style="13" customWidth="1"/>
    <col min="1540" max="1540" width="3.7109375" style="13" customWidth="1"/>
    <col min="1541" max="1541" width="90.28515625" style="13" customWidth="1"/>
    <col min="1542" max="1543" width="8.85546875" style="13"/>
    <col min="1544" max="1544" width="15.42578125" style="13" customWidth="1"/>
    <col min="1545" max="1545" width="5.140625" style="13" customWidth="1"/>
    <col min="1546" max="1547" width="8.85546875" style="13"/>
    <col min="1548" max="1548" width="3" style="13" customWidth="1"/>
    <col min="1549" max="1551" width="8.85546875" style="13"/>
    <col min="1552" max="1552" width="7" style="13" customWidth="1"/>
    <col min="1553" max="1792" width="8.85546875" style="13"/>
    <col min="1793" max="1793" width="3" style="13" customWidth="1"/>
    <col min="1794" max="1794" width="4.140625" style="13" customWidth="1"/>
    <col min="1795" max="1795" width="54" style="13" customWidth="1"/>
    <col min="1796" max="1796" width="3.7109375" style="13" customWidth="1"/>
    <col min="1797" max="1797" width="90.28515625" style="13" customWidth="1"/>
    <col min="1798" max="1799" width="8.85546875" style="13"/>
    <col min="1800" max="1800" width="15.42578125" style="13" customWidth="1"/>
    <col min="1801" max="1801" width="5.140625" style="13" customWidth="1"/>
    <col min="1802" max="1803" width="8.85546875" style="13"/>
    <col min="1804" max="1804" width="3" style="13" customWidth="1"/>
    <col min="1805" max="1807" width="8.85546875" style="13"/>
    <col min="1808" max="1808" width="7" style="13" customWidth="1"/>
    <col min="1809" max="2048" width="8.85546875" style="13"/>
    <col min="2049" max="2049" width="3" style="13" customWidth="1"/>
    <col min="2050" max="2050" width="4.140625" style="13" customWidth="1"/>
    <col min="2051" max="2051" width="54" style="13" customWidth="1"/>
    <col min="2052" max="2052" width="3.7109375" style="13" customWidth="1"/>
    <col min="2053" max="2053" width="90.28515625" style="13" customWidth="1"/>
    <col min="2054" max="2055" width="8.85546875" style="13"/>
    <col min="2056" max="2056" width="15.42578125" style="13" customWidth="1"/>
    <col min="2057" max="2057" width="5.140625" style="13" customWidth="1"/>
    <col min="2058" max="2059" width="8.85546875" style="13"/>
    <col min="2060" max="2060" width="3" style="13" customWidth="1"/>
    <col min="2061" max="2063" width="8.85546875" style="13"/>
    <col min="2064" max="2064" width="7" style="13" customWidth="1"/>
    <col min="2065" max="2304" width="8.85546875" style="13"/>
    <col min="2305" max="2305" width="3" style="13" customWidth="1"/>
    <col min="2306" max="2306" width="4.140625" style="13" customWidth="1"/>
    <col min="2307" max="2307" width="54" style="13" customWidth="1"/>
    <col min="2308" max="2308" width="3.7109375" style="13" customWidth="1"/>
    <col min="2309" max="2309" width="90.28515625" style="13" customWidth="1"/>
    <col min="2310" max="2311" width="8.85546875" style="13"/>
    <col min="2312" max="2312" width="15.42578125" style="13" customWidth="1"/>
    <col min="2313" max="2313" width="5.140625" style="13" customWidth="1"/>
    <col min="2314" max="2315" width="8.85546875" style="13"/>
    <col min="2316" max="2316" width="3" style="13" customWidth="1"/>
    <col min="2317" max="2319" width="8.85546875" style="13"/>
    <col min="2320" max="2320" width="7" style="13" customWidth="1"/>
    <col min="2321" max="2560" width="8.85546875" style="13"/>
    <col min="2561" max="2561" width="3" style="13" customWidth="1"/>
    <col min="2562" max="2562" width="4.140625" style="13" customWidth="1"/>
    <col min="2563" max="2563" width="54" style="13" customWidth="1"/>
    <col min="2564" max="2564" width="3.7109375" style="13" customWidth="1"/>
    <col min="2565" max="2565" width="90.28515625" style="13" customWidth="1"/>
    <col min="2566" max="2567" width="8.85546875" style="13"/>
    <col min="2568" max="2568" width="15.42578125" style="13" customWidth="1"/>
    <col min="2569" max="2569" width="5.140625" style="13" customWidth="1"/>
    <col min="2570" max="2571" width="8.85546875" style="13"/>
    <col min="2572" max="2572" width="3" style="13" customWidth="1"/>
    <col min="2573" max="2575" width="8.85546875" style="13"/>
    <col min="2576" max="2576" width="7" style="13" customWidth="1"/>
    <col min="2577" max="2816" width="8.85546875" style="13"/>
    <col min="2817" max="2817" width="3" style="13" customWidth="1"/>
    <col min="2818" max="2818" width="4.140625" style="13" customWidth="1"/>
    <col min="2819" max="2819" width="54" style="13" customWidth="1"/>
    <col min="2820" max="2820" width="3.7109375" style="13" customWidth="1"/>
    <col min="2821" max="2821" width="90.28515625" style="13" customWidth="1"/>
    <col min="2822" max="2823" width="8.85546875" style="13"/>
    <col min="2824" max="2824" width="15.42578125" style="13" customWidth="1"/>
    <col min="2825" max="2825" width="5.140625" style="13" customWidth="1"/>
    <col min="2826" max="2827" width="8.85546875" style="13"/>
    <col min="2828" max="2828" width="3" style="13" customWidth="1"/>
    <col min="2829" max="2831" width="8.85546875" style="13"/>
    <col min="2832" max="2832" width="7" style="13" customWidth="1"/>
    <col min="2833" max="3072" width="8.85546875" style="13"/>
    <col min="3073" max="3073" width="3" style="13" customWidth="1"/>
    <col min="3074" max="3074" width="4.140625" style="13" customWidth="1"/>
    <col min="3075" max="3075" width="54" style="13" customWidth="1"/>
    <col min="3076" max="3076" width="3.7109375" style="13" customWidth="1"/>
    <col min="3077" max="3077" width="90.28515625" style="13" customWidth="1"/>
    <col min="3078" max="3079" width="8.85546875" style="13"/>
    <col min="3080" max="3080" width="15.42578125" style="13" customWidth="1"/>
    <col min="3081" max="3081" width="5.140625" style="13" customWidth="1"/>
    <col min="3082" max="3083" width="8.85546875" style="13"/>
    <col min="3084" max="3084" width="3" style="13" customWidth="1"/>
    <col min="3085" max="3087" width="8.85546875" style="13"/>
    <col min="3088" max="3088" width="7" style="13" customWidth="1"/>
    <col min="3089" max="3328" width="8.85546875" style="13"/>
    <col min="3329" max="3329" width="3" style="13" customWidth="1"/>
    <col min="3330" max="3330" width="4.140625" style="13" customWidth="1"/>
    <col min="3331" max="3331" width="54" style="13" customWidth="1"/>
    <col min="3332" max="3332" width="3.7109375" style="13" customWidth="1"/>
    <col min="3333" max="3333" width="90.28515625" style="13" customWidth="1"/>
    <col min="3334" max="3335" width="8.85546875" style="13"/>
    <col min="3336" max="3336" width="15.42578125" style="13" customWidth="1"/>
    <col min="3337" max="3337" width="5.140625" style="13" customWidth="1"/>
    <col min="3338" max="3339" width="8.85546875" style="13"/>
    <col min="3340" max="3340" width="3" style="13" customWidth="1"/>
    <col min="3341" max="3343" width="8.85546875" style="13"/>
    <col min="3344" max="3344" width="7" style="13" customWidth="1"/>
    <col min="3345" max="3584" width="8.85546875" style="13"/>
    <col min="3585" max="3585" width="3" style="13" customWidth="1"/>
    <col min="3586" max="3586" width="4.140625" style="13" customWidth="1"/>
    <col min="3587" max="3587" width="54" style="13" customWidth="1"/>
    <col min="3588" max="3588" width="3.7109375" style="13" customWidth="1"/>
    <col min="3589" max="3589" width="90.28515625" style="13" customWidth="1"/>
    <col min="3590" max="3591" width="8.85546875" style="13"/>
    <col min="3592" max="3592" width="15.42578125" style="13" customWidth="1"/>
    <col min="3593" max="3593" width="5.140625" style="13" customWidth="1"/>
    <col min="3594" max="3595" width="8.85546875" style="13"/>
    <col min="3596" max="3596" width="3" style="13" customWidth="1"/>
    <col min="3597" max="3599" width="8.85546875" style="13"/>
    <col min="3600" max="3600" width="7" style="13" customWidth="1"/>
    <col min="3601" max="3840" width="8.85546875" style="13"/>
    <col min="3841" max="3841" width="3" style="13" customWidth="1"/>
    <col min="3842" max="3842" width="4.140625" style="13" customWidth="1"/>
    <col min="3843" max="3843" width="54" style="13" customWidth="1"/>
    <col min="3844" max="3844" width="3.7109375" style="13" customWidth="1"/>
    <col min="3845" max="3845" width="90.28515625" style="13" customWidth="1"/>
    <col min="3846" max="3847" width="8.85546875" style="13"/>
    <col min="3848" max="3848" width="15.42578125" style="13" customWidth="1"/>
    <col min="3849" max="3849" width="5.140625" style="13" customWidth="1"/>
    <col min="3850" max="3851" width="8.85546875" style="13"/>
    <col min="3852" max="3852" width="3" style="13" customWidth="1"/>
    <col min="3853" max="3855" width="8.85546875" style="13"/>
    <col min="3856" max="3856" width="7" style="13" customWidth="1"/>
    <col min="3857" max="4096" width="8.85546875" style="13"/>
    <col min="4097" max="4097" width="3" style="13" customWidth="1"/>
    <col min="4098" max="4098" width="4.140625" style="13" customWidth="1"/>
    <col min="4099" max="4099" width="54" style="13" customWidth="1"/>
    <col min="4100" max="4100" width="3.7109375" style="13" customWidth="1"/>
    <col min="4101" max="4101" width="90.28515625" style="13" customWidth="1"/>
    <col min="4102" max="4103" width="8.85546875" style="13"/>
    <col min="4104" max="4104" width="15.42578125" style="13" customWidth="1"/>
    <col min="4105" max="4105" width="5.140625" style="13" customWidth="1"/>
    <col min="4106" max="4107" width="8.85546875" style="13"/>
    <col min="4108" max="4108" width="3" style="13" customWidth="1"/>
    <col min="4109" max="4111" width="8.85546875" style="13"/>
    <col min="4112" max="4112" width="7" style="13" customWidth="1"/>
    <col min="4113" max="4352" width="8.85546875" style="13"/>
    <col min="4353" max="4353" width="3" style="13" customWidth="1"/>
    <col min="4354" max="4354" width="4.140625" style="13" customWidth="1"/>
    <col min="4355" max="4355" width="54" style="13" customWidth="1"/>
    <col min="4356" max="4356" width="3.7109375" style="13" customWidth="1"/>
    <col min="4357" max="4357" width="90.28515625" style="13" customWidth="1"/>
    <col min="4358" max="4359" width="8.85546875" style="13"/>
    <col min="4360" max="4360" width="15.42578125" style="13" customWidth="1"/>
    <col min="4361" max="4361" width="5.140625" style="13" customWidth="1"/>
    <col min="4362" max="4363" width="8.85546875" style="13"/>
    <col min="4364" max="4364" width="3" style="13" customWidth="1"/>
    <col min="4365" max="4367" width="8.85546875" style="13"/>
    <col min="4368" max="4368" width="7" style="13" customWidth="1"/>
    <col min="4369" max="4608" width="8.85546875" style="13"/>
    <col min="4609" max="4609" width="3" style="13" customWidth="1"/>
    <col min="4610" max="4610" width="4.140625" style="13" customWidth="1"/>
    <col min="4611" max="4611" width="54" style="13" customWidth="1"/>
    <col min="4612" max="4612" width="3.7109375" style="13" customWidth="1"/>
    <col min="4613" max="4613" width="90.28515625" style="13" customWidth="1"/>
    <col min="4614" max="4615" width="8.85546875" style="13"/>
    <col min="4616" max="4616" width="15.42578125" style="13" customWidth="1"/>
    <col min="4617" max="4617" width="5.140625" style="13" customWidth="1"/>
    <col min="4618" max="4619" width="8.85546875" style="13"/>
    <col min="4620" max="4620" width="3" style="13" customWidth="1"/>
    <col min="4621" max="4623" width="8.85546875" style="13"/>
    <col min="4624" max="4624" width="7" style="13" customWidth="1"/>
    <col min="4625" max="4864" width="8.85546875" style="13"/>
    <col min="4865" max="4865" width="3" style="13" customWidth="1"/>
    <col min="4866" max="4866" width="4.140625" style="13" customWidth="1"/>
    <col min="4867" max="4867" width="54" style="13" customWidth="1"/>
    <col min="4868" max="4868" width="3.7109375" style="13" customWidth="1"/>
    <col min="4869" max="4869" width="90.28515625" style="13" customWidth="1"/>
    <col min="4870" max="4871" width="8.85546875" style="13"/>
    <col min="4872" max="4872" width="15.42578125" style="13" customWidth="1"/>
    <col min="4873" max="4873" width="5.140625" style="13" customWidth="1"/>
    <col min="4874" max="4875" width="8.85546875" style="13"/>
    <col min="4876" max="4876" width="3" style="13" customWidth="1"/>
    <col min="4877" max="4879" width="8.85546875" style="13"/>
    <col min="4880" max="4880" width="7" style="13" customWidth="1"/>
    <col min="4881" max="5120" width="8.85546875" style="13"/>
    <col min="5121" max="5121" width="3" style="13" customWidth="1"/>
    <col min="5122" max="5122" width="4.140625" style="13" customWidth="1"/>
    <col min="5123" max="5123" width="54" style="13" customWidth="1"/>
    <col min="5124" max="5124" width="3.7109375" style="13" customWidth="1"/>
    <col min="5125" max="5125" width="90.28515625" style="13" customWidth="1"/>
    <col min="5126" max="5127" width="8.85546875" style="13"/>
    <col min="5128" max="5128" width="15.42578125" style="13" customWidth="1"/>
    <col min="5129" max="5129" width="5.140625" style="13" customWidth="1"/>
    <col min="5130" max="5131" width="8.85546875" style="13"/>
    <col min="5132" max="5132" width="3" style="13" customWidth="1"/>
    <col min="5133" max="5135" width="8.85546875" style="13"/>
    <col min="5136" max="5136" width="7" style="13" customWidth="1"/>
    <col min="5137" max="5376" width="8.85546875" style="13"/>
    <col min="5377" max="5377" width="3" style="13" customWidth="1"/>
    <col min="5378" max="5378" width="4.140625" style="13" customWidth="1"/>
    <col min="5379" max="5379" width="54" style="13" customWidth="1"/>
    <col min="5380" max="5380" width="3.7109375" style="13" customWidth="1"/>
    <col min="5381" max="5381" width="90.28515625" style="13" customWidth="1"/>
    <col min="5382" max="5383" width="8.85546875" style="13"/>
    <col min="5384" max="5384" width="15.42578125" style="13" customWidth="1"/>
    <col min="5385" max="5385" width="5.140625" style="13" customWidth="1"/>
    <col min="5386" max="5387" width="8.85546875" style="13"/>
    <col min="5388" max="5388" width="3" style="13" customWidth="1"/>
    <col min="5389" max="5391" width="8.85546875" style="13"/>
    <col min="5392" max="5392" width="7" style="13" customWidth="1"/>
    <col min="5393" max="5632" width="8.85546875" style="13"/>
    <col min="5633" max="5633" width="3" style="13" customWidth="1"/>
    <col min="5634" max="5634" width="4.140625" style="13" customWidth="1"/>
    <col min="5635" max="5635" width="54" style="13" customWidth="1"/>
    <col min="5636" max="5636" width="3.7109375" style="13" customWidth="1"/>
    <col min="5637" max="5637" width="90.28515625" style="13" customWidth="1"/>
    <col min="5638" max="5639" width="8.85546875" style="13"/>
    <col min="5640" max="5640" width="15.42578125" style="13" customWidth="1"/>
    <col min="5641" max="5641" width="5.140625" style="13" customWidth="1"/>
    <col min="5642" max="5643" width="8.85546875" style="13"/>
    <col min="5644" max="5644" width="3" style="13" customWidth="1"/>
    <col min="5645" max="5647" width="8.85546875" style="13"/>
    <col min="5648" max="5648" width="7" style="13" customWidth="1"/>
    <col min="5649" max="5888" width="8.85546875" style="13"/>
    <col min="5889" max="5889" width="3" style="13" customWidth="1"/>
    <col min="5890" max="5890" width="4.140625" style="13" customWidth="1"/>
    <col min="5891" max="5891" width="54" style="13" customWidth="1"/>
    <col min="5892" max="5892" width="3.7109375" style="13" customWidth="1"/>
    <col min="5893" max="5893" width="90.28515625" style="13" customWidth="1"/>
    <col min="5894" max="5895" width="8.85546875" style="13"/>
    <col min="5896" max="5896" width="15.42578125" style="13" customWidth="1"/>
    <col min="5897" max="5897" width="5.140625" style="13" customWidth="1"/>
    <col min="5898" max="5899" width="8.85546875" style="13"/>
    <col min="5900" max="5900" width="3" style="13" customWidth="1"/>
    <col min="5901" max="5903" width="8.85546875" style="13"/>
    <col min="5904" max="5904" width="7" style="13" customWidth="1"/>
    <col min="5905" max="6144" width="8.85546875" style="13"/>
    <col min="6145" max="6145" width="3" style="13" customWidth="1"/>
    <col min="6146" max="6146" width="4.140625" style="13" customWidth="1"/>
    <col min="6147" max="6147" width="54" style="13" customWidth="1"/>
    <col min="6148" max="6148" width="3.7109375" style="13" customWidth="1"/>
    <col min="6149" max="6149" width="90.28515625" style="13" customWidth="1"/>
    <col min="6150" max="6151" width="8.85546875" style="13"/>
    <col min="6152" max="6152" width="15.42578125" style="13" customWidth="1"/>
    <col min="6153" max="6153" width="5.140625" style="13" customWidth="1"/>
    <col min="6154" max="6155" width="8.85546875" style="13"/>
    <col min="6156" max="6156" width="3" style="13" customWidth="1"/>
    <col min="6157" max="6159" width="8.85546875" style="13"/>
    <col min="6160" max="6160" width="7" style="13" customWidth="1"/>
    <col min="6161" max="6400" width="8.85546875" style="13"/>
    <col min="6401" max="6401" width="3" style="13" customWidth="1"/>
    <col min="6402" max="6402" width="4.140625" style="13" customWidth="1"/>
    <col min="6403" max="6403" width="54" style="13" customWidth="1"/>
    <col min="6404" max="6404" width="3.7109375" style="13" customWidth="1"/>
    <col min="6405" max="6405" width="90.28515625" style="13" customWidth="1"/>
    <col min="6406" max="6407" width="8.85546875" style="13"/>
    <col min="6408" max="6408" width="15.42578125" style="13" customWidth="1"/>
    <col min="6409" max="6409" width="5.140625" style="13" customWidth="1"/>
    <col min="6410" max="6411" width="8.85546875" style="13"/>
    <col min="6412" max="6412" width="3" style="13" customWidth="1"/>
    <col min="6413" max="6415" width="8.85546875" style="13"/>
    <col min="6416" max="6416" width="7" style="13" customWidth="1"/>
    <col min="6417" max="6656" width="8.85546875" style="13"/>
    <col min="6657" max="6657" width="3" style="13" customWidth="1"/>
    <col min="6658" max="6658" width="4.140625" style="13" customWidth="1"/>
    <col min="6659" max="6659" width="54" style="13" customWidth="1"/>
    <col min="6660" max="6660" width="3.7109375" style="13" customWidth="1"/>
    <col min="6661" max="6661" width="90.28515625" style="13" customWidth="1"/>
    <col min="6662" max="6663" width="8.85546875" style="13"/>
    <col min="6664" max="6664" width="15.42578125" style="13" customWidth="1"/>
    <col min="6665" max="6665" width="5.140625" style="13" customWidth="1"/>
    <col min="6666" max="6667" width="8.85546875" style="13"/>
    <col min="6668" max="6668" width="3" style="13" customWidth="1"/>
    <col min="6669" max="6671" width="8.85546875" style="13"/>
    <col min="6672" max="6672" width="7" style="13" customWidth="1"/>
    <col min="6673" max="6912" width="8.85546875" style="13"/>
    <col min="6913" max="6913" width="3" style="13" customWidth="1"/>
    <col min="6914" max="6914" width="4.140625" style="13" customWidth="1"/>
    <col min="6915" max="6915" width="54" style="13" customWidth="1"/>
    <col min="6916" max="6916" width="3.7109375" style="13" customWidth="1"/>
    <col min="6917" max="6917" width="90.28515625" style="13" customWidth="1"/>
    <col min="6918" max="6919" width="8.85546875" style="13"/>
    <col min="6920" max="6920" width="15.42578125" style="13" customWidth="1"/>
    <col min="6921" max="6921" width="5.140625" style="13" customWidth="1"/>
    <col min="6922" max="6923" width="8.85546875" style="13"/>
    <col min="6924" max="6924" width="3" style="13" customWidth="1"/>
    <col min="6925" max="6927" width="8.85546875" style="13"/>
    <col min="6928" max="6928" width="7" style="13" customWidth="1"/>
    <col min="6929" max="7168" width="8.85546875" style="13"/>
    <col min="7169" max="7169" width="3" style="13" customWidth="1"/>
    <col min="7170" max="7170" width="4.140625" style="13" customWidth="1"/>
    <col min="7171" max="7171" width="54" style="13" customWidth="1"/>
    <col min="7172" max="7172" width="3.7109375" style="13" customWidth="1"/>
    <col min="7173" max="7173" width="90.28515625" style="13" customWidth="1"/>
    <col min="7174" max="7175" width="8.85546875" style="13"/>
    <col min="7176" max="7176" width="15.42578125" style="13" customWidth="1"/>
    <col min="7177" max="7177" width="5.140625" style="13" customWidth="1"/>
    <col min="7178" max="7179" width="8.85546875" style="13"/>
    <col min="7180" max="7180" width="3" style="13" customWidth="1"/>
    <col min="7181" max="7183" width="8.85546875" style="13"/>
    <col min="7184" max="7184" width="7" style="13" customWidth="1"/>
    <col min="7185" max="7424" width="8.85546875" style="13"/>
    <col min="7425" max="7425" width="3" style="13" customWidth="1"/>
    <col min="7426" max="7426" width="4.140625" style="13" customWidth="1"/>
    <col min="7427" max="7427" width="54" style="13" customWidth="1"/>
    <col min="7428" max="7428" width="3.7109375" style="13" customWidth="1"/>
    <col min="7429" max="7429" width="90.28515625" style="13" customWidth="1"/>
    <col min="7430" max="7431" width="8.85546875" style="13"/>
    <col min="7432" max="7432" width="15.42578125" style="13" customWidth="1"/>
    <col min="7433" max="7433" width="5.140625" style="13" customWidth="1"/>
    <col min="7434" max="7435" width="8.85546875" style="13"/>
    <col min="7436" max="7436" width="3" style="13" customWidth="1"/>
    <col min="7437" max="7439" width="8.85546875" style="13"/>
    <col min="7440" max="7440" width="7" style="13" customWidth="1"/>
    <col min="7441" max="7680" width="8.85546875" style="13"/>
    <col min="7681" max="7681" width="3" style="13" customWidth="1"/>
    <col min="7682" max="7682" width="4.140625" style="13" customWidth="1"/>
    <col min="7683" max="7683" width="54" style="13" customWidth="1"/>
    <col min="7684" max="7684" width="3.7109375" style="13" customWidth="1"/>
    <col min="7685" max="7685" width="90.28515625" style="13" customWidth="1"/>
    <col min="7686" max="7687" width="8.85546875" style="13"/>
    <col min="7688" max="7688" width="15.42578125" style="13" customWidth="1"/>
    <col min="7689" max="7689" width="5.140625" style="13" customWidth="1"/>
    <col min="7690" max="7691" width="8.85546875" style="13"/>
    <col min="7692" max="7692" width="3" style="13" customWidth="1"/>
    <col min="7693" max="7695" width="8.85546875" style="13"/>
    <col min="7696" max="7696" width="7" style="13" customWidth="1"/>
    <col min="7697" max="7936" width="8.85546875" style="13"/>
    <col min="7937" max="7937" width="3" style="13" customWidth="1"/>
    <col min="7938" max="7938" width="4.140625" style="13" customWidth="1"/>
    <col min="7939" max="7939" width="54" style="13" customWidth="1"/>
    <col min="7940" max="7940" width="3.7109375" style="13" customWidth="1"/>
    <col min="7941" max="7941" width="90.28515625" style="13" customWidth="1"/>
    <col min="7942" max="7943" width="8.85546875" style="13"/>
    <col min="7944" max="7944" width="15.42578125" style="13" customWidth="1"/>
    <col min="7945" max="7945" width="5.140625" style="13" customWidth="1"/>
    <col min="7946" max="7947" width="8.85546875" style="13"/>
    <col min="7948" max="7948" width="3" style="13" customWidth="1"/>
    <col min="7949" max="7951" width="8.85546875" style="13"/>
    <col min="7952" max="7952" width="7" style="13" customWidth="1"/>
    <col min="7953" max="8192" width="8.85546875" style="13"/>
    <col min="8193" max="8193" width="3" style="13" customWidth="1"/>
    <col min="8194" max="8194" width="4.140625" style="13" customWidth="1"/>
    <col min="8195" max="8195" width="54" style="13" customWidth="1"/>
    <col min="8196" max="8196" width="3.7109375" style="13" customWidth="1"/>
    <col min="8197" max="8197" width="90.28515625" style="13" customWidth="1"/>
    <col min="8198" max="8199" width="8.85546875" style="13"/>
    <col min="8200" max="8200" width="15.42578125" style="13" customWidth="1"/>
    <col min="8201" max="8201" width="5.140625" style="13" customWidth="1"/>
    <col min="8202" max="8203" width="8.85546875" style="13"/>
    <col min="8204" max="8204" width="3" style="13" customWidth="1"/>
    <col min="8205" max="8207" width="8.85546875" style="13"/>
    <col min="8208" max="8208" width="7" style="13" customWidth="1"/>
    <col min="8209" max="8448" width="8.85546875" style="13"/>
    <col min="8449" max="8449" width="3" style="13" customWidth="1"/>
    <col min="8450" max="8450" width="4.140625" style="13" customWidth="1"/>
    <col min="8451" max="8451" width="54" style="13" customWidth="1"/>
    <col min="8452" max="8452" width="3.7109375" style="13" customWidth="1"/>
    <col min="8453" max="8453" width="90.28515625" style="13" customWidth="1"/>
    <col min="8454" max="8455" width="8.85546875" style="13"/>
    <col min="8456" max="8456" width="15.42578125" style="13" customWidth="1"/>
    <col min="8457" max="8457" width="5.140625" style="13" customWidth="1"/>
    <col min="8458" max="8459" width="8.85546875" style="13"/>
    <col min="8460" max="8460" width="3" style="13" customWidth="1"/>
    <col min="8461" max="8463" width="8.85546875" style="13"/>
    <col min="8464" max="8464" width="7" style="13" customWidth="1"/>
    <col min="8465" max="8704" width="8.85546875" style="13"/>
    <col min="8705" max="8705" width="3" style="13" customWidth="1"/>
    <col min="8706" max="8706" width="4.140625" style="13" customWidth="1"/>
    <col min="8707" max="8707" width="54" style="13" customWidth="1"/>
    <col min="8708" max="8708" width="3.7109375" style="13" customWidth="1"/>
    <col min="8709" max="8709" width="90.28515625" style="13" customWidth="1"/>
    <col min="8710" max="8711" width="8.85546875" style="13"/>
    <col min="8712" max="8712" width="15.42578125" style="13" customWidth="1"/>
    <col min="8713" max="8713" width="5.140625" style="13" customWidth="1"/>
    <col min="8714" max="8715" width="8.85546875" style="13"/>
    <col min="8716" max="8716" width="3" style="13" customWidth="1"/>
    <col min="8717" max="8719" width="8.85546875" style="13"/>
    <col min="8720" max="8720" width="7" style="13" customWidth="1"/>
    <col min="8721" max="8960" width="8.85546875" style="13"/>
    <col min="8961" max="8961" width="3" style="13" customWidth="1"/>
    <col min="8962" max="8962" width="4.140625" style="13" customWidth="1"/>
    <col min="8963" max="8963" width="54" style="13" customWidth="1"/>
    <col min="8964" max="8964" width="3.7109375" style="13" customWidth="1"/>
    <col min="8965" max="8965" width="90.28515625" style="13" customWidth="1"/>
    <col min="8966" max="8967" width="8.85546875" style="13"/>
    <col min="8968" max="8968" width="15.42578125" style="13" customWidth="1"/>
    <col min="8969" max="8969" width="5.140625" style="13" customWidth="1"/>
    <col min="8970" max="8971" width="8.85546875" style="13"/>
    <col min="8972" max="8972" width="3" style="13" customWidth="1"/>
    <col min="8973" max="8975" width="8.85546875" style="13"/>
    <col min="8976" max="8976" width="7" style="13" customWidth="1"/>
    <col min="8977" max="9216" width="8.85546875" style="13"/>
    <col min="9217" max="9217" width="3" style="13" customWidth="1"/>
    <col min="9218" max="9218" width="4.140625" style="13" customWidth="1"/>
    <col min="9219" max="9219" width="54" style="13" customWidth="1"/>
    <col min="9220" max="9220" width="3.7109375" style="13" customWidth="1"/>
    <col min="9221" max="9221" width="90.28515625" style="13" customWidth="1"/>
    <col min="9222" max="9223" width="8.85546875" style="13"/>
    <col min="9224" max="9224" width="15.42578125" style="13" customWidth="1"/>
    <col min="9225" max="9225" width="5.140625" style="13" customWidth="1"/>
    <col min="9226" max="9227" width="8.85546875" style="13"/>
    <col min="9228" max="9228" width="3" style="13" customWidth="1"/>
    <col min="9229" max="9231" width="8.85546875" style="13"/>
    <col min="9232" max="9232" width="7" style="13" customWidth="1"/>
    <col min="9233" max="9472" width="8.85546875" style="13"/>
    <col min="9473" max="9473" width="3" style="13" customWidth="1"/>
    <col min="9474" max="9474" width="4.140625" style="13" customWidth="1"/>
    <col min="9475" max="9475" width="54" style="13" customWidth="1"/>
    <col min="9476" max="9476" width="3.7109375" style="13" customWidth="1"/>
    <col min="9477" max="9477" width="90.28515625" style="13" customWidth="1"/>
    <col min="9478" max="9479" width="8.85546875" style="13"/>
    <col min="9480" max="9480" width="15.42578125" style="13" customWidth="1"/>
    <col min="9481" max="9481" width="5.140625" style="13" customWidth="1"/>
    <col min="9482" max="9483" width="8.85546875" style="13"/>
    <col min="9484" max="9484" width="3" style="13" customWidth="1"/>
    <col min="9485" max="9487" width="8.85546875" style="13"/>
    <col min="9488" max="9488" width="7" style="13" customWidth="1"/>
    <col min="9489" max="9728" width="8.85546875" style="13"/>
    <col min="9729" max="9729" width="3" style="13" customWidth="1"/>
    <col min="9730" max="9730" width="4.140625" style="13" customWidth="1"/>
    <col min="9731" max="9731" width="54" style="13" customWidth="1"/>
    <col min="9732" max="9732" width="3.7109375" style="13" customWidth="1"/>
    <col min="9733" max="9733" width="90.28515625" style="13" customWidth="1"/>
    <col min="9734" max="9735" width="8.85546875" style="13"/>
    <col min="9736" max="9736" width="15.42578125" style="13" customWidth="1"/>
    <col min="9737" max="9737" width="5.140625" style="13" customWidth="1"/>
    <col min="9738" max="9739" width="8.85546875" style="13"/>
    <col min="9740" max="9740" width="3" style="13" customWidth="1"/>
    <col min="9741" max="9743" width="8.85546875" style="13"/>
    <col min="9744" max="9744" width="7" style="13" customWidth="1"/>
    <col min="9745" max="9984" width="8.85546875" style="13"/>
    <col min="9985" max="9985" width="3" style="13" customWidth="1"/>
    <col min="9986" max="9986" width="4.140625" style="13" customWidth="1"/>
    <col min="9987" max="9987" width="54" style="13" customWidth="1"/>
    <col min="9988" max="9988" width="3.7109375" style="13" customWidth="1"/>
    <col min="9989" max="9989" width="90.28515625" style="13" customWidth="1"/>
    <col min="9990" max="9991" width="8.85546875" style="13"/>
    <col min="9992" max="9992" width="15.42578125" style="13" customWidth="1"/>
    <col min="9993" max="9993" width="5.140625" style="13" customWidth="1"/>
    <col min="9994" max="9995" width="8.85546875" style="13"/>
    <col min="9996" max="9996" width="3" style="13" customWidth="1"/>
    <col min="9997" max="9999" width="8.85546875" style="13"/>
    <col min="10000" max="10000" width="7" style="13" customWidth="1"/>
    <col min="10001" max="10240" width="8.85546875" style="13"/>
    <col min="10241" max="10241" width="3" style="13" customWidth="1"/>
    <col min="10242" max="10242" width="4.140625" style="13" customWidth="1"/>
    <col min="10243" max="10243" width="54" style="13" customWidth="1"/>
    <col min="10244" max="10244" width="3.7109375" style="13" customWidth="1"/>
    <col min="10245" max="10245" width="90.28515625" style="13" customWidth="1"/>
    <col min="10246" max="10247" width="8.85546875" style="13"/>
    <col min="10248" max="10248" width="15.42578125" style="13" customWidth="1"/>
    <col min="10249" max="10249" width="5.140625" style="13" customWidth="1"/>
    <col min="10250" max="10251" width="8.85546875" style="13"/>
    <col min="10252" max="10252" width="3" style="13" customWidth="1"/>
    <col min="10253" max="10255" width="8.85546875" style="13"/>
    <col min="10256" max="10256" width="7" style="13" customWidth="1"/>
    <col min="10257" max="10496" width="8.85546875" style="13"/>
    <col min="10497" max="10497" width="3" style="13" customWidth="1"/>
    <col min="10498" max="10498" width="4.140625" style="13" customWidth="1"/>
    <col min="10499" max="10499" width="54" style="13" customWidth="1"/>
    <col min="10500" max="10500" width="3.7109375" style="13" customWidth="1"/>
    <col min="10501" max="10501" width="90.28515625" style="13" customWidth="1"/>
    <col min="10502" max="10503" width="8.85546875" style="13"/>
    <col min="10504" max="10504" width="15.42578125" style="13" customWidth="1"/>
    <col min="10505" max="10505" width="5.140625" style="13" customWidth="1"/>
    <col min="10506" max="10507" width="8.85546875" style="13"/>
    <col min="10508" max="10508" width="3" style="13" customWidth="1"/>
    <col min="10509" max="10511" width="8.85546875" style="13"/>
    <col min="10512" max="10512" width="7" style="13" customWidth="1"/>
    <col min="10513" max="10752" width="8.85546875" style="13"/>
    <col min="10753" max="10753" width="3" style="13" customWidth="1"/>
    <col min="10754" max="10754" width="4.140625" style="13" customWidth="1"/>
    <col min="10755" max="10755" width="54" style="13" customWidth="1"/>
    <col min="10756" max="10756" width="3.7109375" style="13" customWidth="1"/>
    <col min="10757" max="10757" width="90.28515625" style="13" customWidth="1"/>
    <col min="10758" max="10759" width="8.85546875" style="13"/>
    <col min="10760" max="10760" width="15.42578125" style="13" customWidth="1"/>
    <col min="10761" max="10761" width="5.140625" style="13" customWidth="1"/>
    <col min="10762" max="10763" width="8.85546875" style="13"/>
    <col min="10764" max="10764" width="3" style="13" customWidth="1"/>
    <col min="10765" max="10767" width="8.85546875" style="13"/>
    <col min="10768" max="10768" width="7" style="13" customWidth="1"/>
    <col min="10769" max="11008" width="8.85546875" style="13"/>
    <col min="11009" max="11009" width="3" style="13" customWidth="1"/>
    <col min="11010" max="11010" width="4.140625" style="13" customWidth="1"/>
    <col min="11011" max="11011" width="54" style="13" customWidth="1"/>
    <col min="11012" max="11012" width="3.7109375" style="13" customWidth="1"/>
    <col min="11013" max="11013" width="90.28515625" style="13" customWidth="1"/>
    <col min="11014" max="11015" width="8.85546875" style="13"/>
    <col min="11016" max="11016" width="15.42578125" style="13" customWidth="1"/>
    <col min="11017" max="11017" width="5.140625" style="13" customWidth="1"/>
    <col min="11018" max="11019" width="8.85546875" style="13"/>
    <col min="11020" max="11020" width="3" style="13" customWidth="1"/>
    <col min="11021" max="11023" width="8.85546875" style="13"/>
    <col min="11024" max="11024" width="7" style="13" customWidth="1"/>
    <col min="11025" max="11264" width="8.85546875" style="13"/>
    <col min="11265" max="11265" width="3" style="13" customWidth="1"/>
    <col min="11266" max="11266" width="4.140625" style="13" customWidth="1"/>
    <col min="11267" max="11267" width="54" style="13" customWidth="1"/>
    <col min="11268" max="11268" width="3.7109375" style="13" customWidth="1"/>
    <col min="11269" max="11269" width="90.28515625" style="13" customWidth="1"/>
    <col min="11270" max="11271" width="8.85546875" style="13"/>
    <col min="11272" max="11272" width="15.42578125" style="13" customWidth="1"/>
    <col min="11273" max="11273" width="5.140625" style="13" customWidth="1"/>
    <col min="11274" max="11275" width="8.85546875" style="13"/>
    <col min="11276" max="11276" width="3" style="13" customWidth="1"/>
    <col min="11277" max="11279" width="8.85546875" style="13"/>
    <col min="11280" max="11280" width="7" style="13" customWidth="1"/>
    <col min="11281" max="11520" width="8.85546875" style="13"/>
    <col min="11521" max="11521" width="3" style="13" customWidth="1"/>
    <col min="11522" max="11522" width="4.140625" style="13" customWidth="1"/>
    <col min="11523" max="11523" width="54" style="13" customWidth="1"/>
    <col min="11524" max="11524" width="3.7109375" style="13" customWidth="1"/>
    <col min="11525" max="11525" width="90.28515625" style="13" customWidth="1"/>
    <col min="11526" max="11527" width="8.85546875" style="13"/>
    <col min="11528" max="11528" width="15.42578125" style="13" customWidth="1"/>
    <col min="11529" max="11529" width="5.140625" style="13" customWidth="1"/>
    <col min="11530" max="11531" width="8.85546875" style="13"/>
    <col min="11532" max="11532" width="3" style="13" customWidth="1"/>
    <col min="11533" max="11535" width="8.85546875" style="13"/>
    <col min="11536" max="11536" width="7" style="13" customWidth="1"/>
    <col min="11537" max="11776" width="8.85546875" style="13"/>
    <col min="11777" max="11777" width="3" style="13" customWidth="1"/>
    <col min="11778" max="11778" width="4.140625" style="13" customWidth="1"/>
    <col min="11779" max="11779" width="54" style="13" customWidth="1"/>
    <col min="11780" max="11780" width="3.7109375" style="13" customWidth="1"/>
    <col min="11781" max="11781" width="90.28515625" style="13" customWidth="1"/>
    <col min="11782" max="11783" width="8.85546875" style="13"/>
    <col min="11784" max="11784" width="15.42578125" style="13" customWidth="1"/>
    <col min="11785" max="11785" width="5.140625" style="13" customWidth="1"/>
    <col min="11786" max="11787" width="8.85546875" style="13"/>
    <col min="11788" max="11788" width="3" style="13" customWidth="1"/>
    <col min="11789" max="11791" width="8.85546875" style="13"/>
    <col min="11792" max="11792" width="7" style="13" customWidth="1"/>
    <col min="11793" max="12032" width="8.85546875" style="13"/>
    <col min="12033" max="12033" width="3" style="13" customWidth="1"/>
    <col min="12034" max="12034" width="4.140625" style="13" customWidth="1"/>
    <col min="12035" max="12035" width="54" style="13" customWidth="1"/>
    <col min="12036" max="12036" width="3.7109375" style="13" customWidth="1"/>
    <col min="12037" max="12037" width="90.28515625" style="13" customWidth="1"/>
    <col min="12038" max="12039" width="8.85546875" style="13"/>
    <col min="12040" max="12040" width="15.42578125" style="13" customWidth="1"/>
    <col min="12041" max="12041" width="5.140625" style="13" customWidth="1"/>
    <col min="12042" max="12043" width="8.85546875" style="13"/>
    <col min="12044" max="12044" width="3" style="13" customWidth="1"/>
    <col min="12045" max="12047" width="8.85546875" style="13"/>
    <col min="12048" max="12048" width="7" style="13" customWidth="1"/>
    <col min="12049" max="12288" width="8.85546875" style="13"/>
    <col min="12289" max="12289" width="3" style="13" customWidth="1"/>
    <col min="12290" max="12290" width="4.140625" style="13" customWidth="1"/>
    <col min="12291" max="12291" width="54" style="13" customWidth="1"/>
    <col min="12292" max="12292" width="3.7109375" style="13" customWidth="1"/>
    <col min="12293" max="12293" width="90.28515625" style="13" customWidth="1"/>
    <col min="12294" max="12295" width="8.85546875" style="13"/>
    <col min="12296" max="12296" width="15.42578125" style="13" customWidth="1"/>
    <col min="12297" max="12297" width="5.140625" style="13" customWidth="1"/>
    <col min="12298" max="12299" width="8.85546875" style="13"/>
    <col min="12300" max="12300" width="3" style="13" customWidth="1"/>
    <col min="12301" max="12303" width="8.85546875" style="13"/>
    <col min="12304" max="12304" width="7" style="13" customWidth="1"/>
    <col min="12305" max="12544" width="8.85546875" style="13"/>
    <col min="12545" max="12545" width="3" style="13" customWidth="1"/>
    <col min="12546" max="12546" width="4.140625" style="13" customWidth="1"/>
    <col min="12547" max="12547" width="54" style="13" customWidth="1"/>
    <col min="12548" max="12548" width="3.7109375" style="13" customWidth="1"/>
    <col min="12549" max="12549" width="90.28515625" style="13" customWidth="1"/>
    <col min="12550" max="12551" width="8.85546875" style="13"/>
    <col min="12552" max="12552" width="15.42578125" style="13" customWidth="1"/>
    <col min="12553" max="12553" width="5.140625" style="13" customWidth="1"/>
    <col min="12554" max="12555" width="8.85546875" style="13"/>
    <col min="12556" max="12556" width="3" style="13" customWidth="1"/>
    <col min="12557" max="12559" width="8.85546875" style="13"/>
    <col min="12560" max="12560" width="7" style="13" customWidth="1"/>
    <col min="12561" max="12800" width="8.85546875" style="13"/>
    <col min="12801" max="12801" width="3" style="13" customWidth="1"/>
    <col min="12802" max="12802" width="4.140625" style="13" customWidth="1"/>
    <col min="12803" max="12803" width="54" style="13" customWidth="1"/>
    <col min="12804" max="12804" width="3.7109375" style="13" customWidth="1"/>
    <col min="12805" max="12805" width="90.28515625" style="13" customWidth="1"/>
    <col min="12806" max="12807" width="8.85546875" style="13"/>
    <col min="12808" max="12808" width="15.42578125" style="13" customWidth="1"/>
    <col min="12809" max="12809" width="5.140625" style="13" customWidth="1"/>
    <col min="12810" max="12811" width="8.85546875" style="13"/>
    <col min="12812" max="12812" width="3" style="13" customWidth="1"/>
    <col min="12813" max="12815" width="8.85546875" style="13"/>
    <col min="12816" max="12816" width="7" style="13" customWidth="1"/>
    <col min="12817" max="13056" width="8.85546875" style="13"/>
    <col min="13057" max="13057" width="3" style="13" customWidth="1"/>
    <col min="13058" max="13058" width="4.140625" style="13" customWidth="1"/>
    <col min="13059" max="13059" width="54" style="13" customWidth="1"/>
    <col min="13060" max="13060" width="3.7109375" style="13" customWidth="1"/>
    <col min="13061" max="13061" width="90.28515625" style="13" customWidth="1"/>
    <col min="13062" max="13063" width="8.85546875" style="13"/>
    <col min="13064" max="13064" width="15.42578125" style="13" customWidth="1"/>
    <col min="13065" max="13065" width="5.140625" style="13" customWidth="1"/>
    <col min="13066" max="13067" width="8.85546875" style="13"/>
    <col min="13068" max="13068" width="3" style="13" customWidth="1"/>
    <col min="13069" max="13071" width="8.85546875" style="13"/>
    <col min="13072" max="13072" width="7" style="13" customWidth="1"/>
    <col min="13073" max="13312" width="8.85546875" style="13"/>
    <col min="13313" max="13313" width="3" style="13" customWidth="1"/>
    <col min="13314" max="13314" width="4.140625" style="13" customWidth="1"/>
    <col min="13315" max="13315" width="54" style="13" customWidth="1"/>
    <col min="13316" max="13316" width="3.7109375" style="13" customWidth="1"/>
    <col min="13317" max="13317" width="90.28515625" style="13" customWidth="1"/>
    <col min="13318" max="13319" width="8.85546875" style="13"/>
    <col min="13320" max="13320" width="15.42578125" style="13" customWidth="1"/>
    <col min="13321" max="13321" width="5.140625" style="13" customWidth="1"/>
    <col min="13322" max="13323" width="8.85546875" style="13"/>
    <col min="13324" max="13324" width="3" style="13" customWidth="1"/>
    <col min="13325" max="13327" width="8.85546875" style="13"/>
    <col min="13328" max="13328" width="7" style="13" customWidth="1"/>
    <col min="13329" max="13568" width="8.85546875" style="13"/>
    <col min="13569" max="13569" width="3" style="13" customWidth="1"/>
    <col min="13570" max="13570" width="4.140625" style="13" customWidth="1"/>
    <col min="13571" max="13571" width="54" style="13" customWidth="1"/>
    <col min="13572" max="13572" width="3.7109375" style="13" customWidth="1"/>
    <col min="13573" max="13573" width="90.28515625" style="13" customWidth="1"/>
    <col min="13574" max="13575" width="8.85546875" style="13"/>
    <col min="13576" max="13576" width="15.42578125" style="13" customWidth="1"/>
    <col min="13577" max="13577" width="5.140625" style="13" customWidth="1"/>
    <col min="13578" max="13579" width="8.85546875" style="13"/>
    <col min="13580" max="13580" width="3" style="13" customWidth="1"/>
    <col min="13581" max="13583" width="8.85546875" style="13"/>
    <col min="13584" max="13584" width="7" style="13" customWidth="1"/>
    <col min="13585" max="13824" width="8.85546875" style="13"/>
    <col min="13825" max="13825" width="3" style="13" customWidth="1"/>
    <col min="13826" max="13826" width="4.140625" style="13" customWidth="1"/>
    <col min="13827" max="13827" width="54" style="13" customWidth="1"/>
    <col min="13828" max="13828" width="3.7109375" style="13" customWidth="1"/>
    <col min="13829" max="13829" width="90.28515625" style="13" customWidth="1"/>
    <col min="13830" max="13831" width="8.85546875" style="13"/>
    <col min="13832" max="13832" width="15.42578125" style="13" customWidth="1"/>
    <col min="13833" max="13833" width="5.140625" style="13" customWidth="1"/>
    <col min="13834" max="13835" width="8.85546875" style="13"/>
    <col min="13836" max="13836" width="3" style="13" customWidth="1"/>
    <col min="13837" max="13839" width="8.85546875" style="13"/>
    <col min="13840" max="13840" width="7" style="13" customWidth="1"/>
    <col min="13841" max="14080" width="8.85546875" style="13"/>
    <col min="14081" max="14081" width="3" style="13" customWidth="1"/>
    <col min="14082" max="14082" width="4.140625" style="13" customWidth="1"/>
    <col min="14083" max="14083" width="54" style="13" customWidth="1"/>
    <col min="14084" max="14084" width="3.7109375" style="13" customWidth="1"/>
    <col min="14085" max="14085" width="90.28515625" style="13" customWidth="1"/>
    <col min="14086" max="14087" width="8.85546875" style="13"/>
    <col min="14088" max="14088" width="15.42578125" style="13" customWidth="1"/>
    <col min="14089" max="14089" width="5.140625" style="13" customWidth="1"/>
    <col min="14090" max="14091" width="8.85546875" style="13"/>
    <col min="14092" max="14092" width="3" style="13" customWidth="1"/>
    <col min="14093" max="14095" width="8.85546875" style="13"/>
    <col min="14096" max="14096" width="7" style="13" customWidth="1"/>
    <col min="14097" max="14336" width="8.85546875" style="13"/>
    <col min="14337" max="14337" width="3" style="13" customWidth="1"/>
    <col min="14338" max="14338" width="4.140625" style="13" customWidth="1"/>
    <col min="14339" max="14339" width="54" style="13" customWidth="1"/>
    <col min="14340" max="14340" width="3.7109375" style="13" customWidth="1"/>
    <col min="14341" max="14341" width="90.28515625" style="13" customWidth="1"/>
    <col min="14342" max="14343" width="8.85546875" style="13"/>
    <col min="14344" max="14344" width="15.42578125" style="13" customWidth="1"/>
    <col min="14345" max="14345" width="5.140625" style="13" customWidth="1"/>
    <col min="14346" max="14347" width="8.85546875" style="13"/>
    <col min="14348" max="14348" width="3" style="13" customWidth="1"/>
    <col min="14349" max="14351" width="8.85546875" style="13"/>
    <col min="14352" max="14352" width="7" style="13" customWidth="1"/>
    <col min="14353" max="14592" width="8.85546875" style="13"/>
    <col min="14593" max="14593" width="3" style="13" customWidth="1"/>
    <col min="14594" max="14594" width="4.140625" style="13" customWidth="1"/>
    <col min="14595" max="14595" width="54" style="13" customWidth="1"/>
    <col min="14596" max="14596" width="3.7109375" style="13" customWidth="1"/>
    <col min="14597" max="14597" width="90.28515625" style="13" customWidth="1"/>
    <col min="14598" max="14599" width="8.85546875" style="13"/>
    <col min="14600" max="14600" width="15.42578125" style="13" customWidth="1"/>
    <col min="14601" max="14601" width="5.140625" style="13" customWidth="1"/>
    <col min="14602" max="14603" width="8.85546875" style="13"/>
    <col min="14604" max="14604" width="3" style="13" customWidth="1"/>
    <col min="14605" max="14607" width="8.85546875" style="13"/>
    <col min="14608" max="14608" width="7" style="13" customWidth="1"/>
    <col min="14609" max="14848" width="8.85546875" style="13"/>
    <col min="14849" max="14849" width="3" style="13" customWidth="1"/>
    <col min="14850" max="14850" width="4.140625" style="13" customWidth="1"/>
    <col min="14851" max="14851" width="54" style="13" customWidth="1"/>
    <col min="14852" max="14852" width="3.7109375" style="13" customWidth="1"/>
    <col min="14853" max="14853" width="90.28515625" style="13" customWidth="1"/>
    <col min="14854" max="14855" width="8.85546875" style="13"/>
    <col min="14856" max="14856" width="15.42578125" style="13" customWidth="1"/>
    <col min="14857" max="14857" width="5.140625" style="13" customWidth="1"/>
    <col min="14858" max="14859" width="8.85546875" style="13"/>
    <col min="14860" max="14860" width="3" style="13" customWidth="1"/>
    <col min="14861" max="14863" width="8.85546875" style="13"/>
    <col min="14864" max="14864" width="7" style="13" customWidth="1"/>
    <col min="14865" max="15104" width="8.85546875" style="13"/>
    <col min="15105" max="15105" width="3" style="13" customWidth="1"/>
    <col min="15106" max="15106" width="4.140625" style="13" customWidth="1"/>
    <col min="15107" max="15107" width="54" style="13" customWidth="1"/>
    <col min="15108" max="15108" width="3.7109375" style="13" customWidth="1"/>
    <col min="15109" max="15109" width="90.28515625" style="13" customWidth="1"/>
    <col min="15110" max="15111" width="8.85546875" style="13"/>
    <col min="15112" max="15112" width="15.42578125" style="13" customWidth="1"/>
    <col min="15113" max="15113" width="5.140625" style="13" customWidth="1"/>
    <col min="15114" max="15115" width="8.85546875" style="13"/>
    <col min="15116" max="15116" width="3" style="13" customWidth="1"/>
    <col min="15117" max="15119" width="8.85546875" style="13"/>
    <col min="15120" max="15120" width="7" style="13" customWidth="1"/>
    <col min="15121" max="15360" width="8.85546875" style="13"/>
    <col min="15361" max="15361" width="3" style="13" customWidth="1"/>
    <col min="15362" max="15362" width="4.140625" style="13" customWidth="1"/>
    <col min="15363" max="15363" width="54" style="13" customWidth="1"/>
    <col min="15364" max="15364" width="3.7109375" style="13" customWidth="1"/>
    <col min="15365" max="15365" width="90.28515625" style="13" customWidth="1"/>
    <col min="15366" max="15367" width="8.85546875" style="13"/>
    <col min="15368" max="15368" width="15.42578125" style="13" customWidth="1"/>
    <col min="15369" max="15369" width="5.140625" style="13" customWidth="1"/>
    <col min="15370" max="15371" width="8.85546875" style="13"/>
    <col min="15372" max="15372" width="3" style="13" customWidth="1"/>
    <col min="15373" max="15375" width="8.85546875" style="13"/>
    <col min="15376" max="15376" width="7" style="13" customWidth="1"/>
    <col min="15377" max="15616" width="8.85546875" style="13"/>
    <col min="15617" max="15617" width="3" style="13" customWidth="1"/>
    <col min="15618" max="15618" width="4.140625" style="13" customWidth="1"/>
    <col min="15619" max="15619" width="54" style="13" customWidth="1"/>
    <col min="15620" max="15620" width="3.7109375" style="13" customWidth="1"/>
    <col min="15621" max="15621" width="90.28515625" style="13" customWidth="1"/>
    <col min="15622" max="15623" width="8.85546875" style="13"/>
    <col min="15624" max="15624" width="15.42578125" style="13" customWidth="1"/>
    <col min="15625" max="15625" width="5.140625" style="13" customWidth="1"/>
    <col min="15626" max="15627" width="8.85546875" style="13"/>
    <col min="15628" max="15628" width="3" style="13" customWidth="1"/>
    <col min="15629" max="15631" width="8.85546875" style="13"/>
    <col min="15632" max="15632" width="7" style="13" customWidth="1"/>
    <col min="15633" max="15872" width="8.85546875" style="13"/>
    <col min="15873" max="15873" width="3" style="13" customWidth="1"/>
    <col min="15874" max="15874" width="4.140625" style="13" customWidth="1"/>
    <col min="15875" max="15875" width="54" style="13" customWidth="1"/>
    <col min="15876" max="15876" width="3.7109375" style="13" customWidth="1"/>
    <col min="15877" max="15877" width="90.28515625" style="13" customWidth="1"/>
    <col min="15878" max="15879" width="8.85546875" style="13"/>
    <col min="15880" max="15880" width="15.42578125" style="13" customWidth="1"/>
    <col min="15881" max="15881" width="5.140625" style="13" customWidth="1"/>
    <col min="15882" max="15883" width="8.85546875" style="13"/>
    <col min="15884" max="15884" width="3" style="13" customWidth="1"/>
    <col min="15885" max="15887" width="8.85546875" style="13"/>
    <col min="15888" max="15888" width="7" style="13" customWidth="1"/>
    <col min="15889" max="16128" width="8.85546875" style="13"/>
    <col min="16129" max="16129" width="3" style="13" customWidth="1"/>
    <col min="16130" max="16130" width="4.140625" style="13" customWidth="1"/>
    <col min="16131" max="16131" width="54" style="13" customWidth="1"/>
    <col min="16132" max="16132" width="3.7109375" style="13" customWidth="1"/>
    <col min="16133" max="16133" width="90.28515625" style="13" customWidth="1"/>
    <col min="16134" max="16135" width="8.85546875" style="13"/>
    <col min="16136" max="16136" width="15.42578125" style="13" customWidth="1"/>
    <col min="16137" max="16137" width="5.140625" style="13" customWidth="1"/>
    <col min="16138" max="16139" width="8.85546875" style="13"/>
    <col min="16140" max="16140" width="3" style="13" customWidth="1"/>
    <col min="16141" max="16143" width="8.85546875" style="13"/>
    <col min="16144" max="16144" width="7" style="13" customWidth="1"/>
    <col min="16145" max="16384" width="8.85546875" style="13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4"/>
      <c r="C4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895A-16C8-4C2A-9636-CA83E6BAD5D3}">
  <sheetPr codeName="Sheet1"/>
  <dimension ref="A1:AE90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5" width="3" style="8" customWidth="1"/>
    <col min="6" max="6" width="18.5703125" style="8" customWidth="1"/>
    <col min="7" max="7" width="8.7109375" bestFit="1" customWidth="1"/>
    <col min="8" max="8" width="2.28515625" customWidth="1"/>
    <col min="9" max="9" width="12.7109375" customWidth="1"/>
    <col min="10" max="10" width="2.28515625" customWidth="1"/>
    <col min="11" max="11" width="12.42578125" customWidth="1"/>
    <col min="12" max="12" width="2.28515625" customWidth="1"/>
    <col min="13" max="13" width="5.5703125" bestFit="1" customWidth="1"/>
    <col min="14" max="14" width="2.28515625" customWidth="1"/>
    <col min="15" max="15" width="10.5703125" bestFit="1" customWidth="1"/>
    <col min="16" max="16" width="2.28515625" customWidth="1"/>
    <col min="17" max="17" width="16.140625" customWidth="1"/>
    <col min="18" max="18" width="2.28515625" customWidth="1"/>
    <col min="19" max="19" width="9.140625" bestFit="1" customWidth="1"/>
    <col min="20" max="20" width="2.28515625" customWidth="1"/>
    <col min="21" max="21" width="7.5703125" bestFit="1" customWidth="1"/>
    <col min="22" max="22" width="2.28515625" customWidth="1"/>
    <col min="23" max="23" width="9.140625" bestFit="1" customWidth="1"/>
    <col min="24" max="24" width="2.28515625" customWidth="1"/>
    <col min="25" max="25" width="9.85546875" bestFit="1" customWidth="1"/>
    <col min="26" max="26" width="2.28515625" customWidth="1"/>
    <col min="27" max="27" width="5.140625" bestFit="1" customWidth="1"/>
    <col min="28" max="28" width="2.28515625" customWidth="1"/>
    <col min="29" max="29" width="10.28515625" bestFit="1" customWidth="1"/>
    <col min="30" max="30" width="2.28515625" customWidth="1"/>
    <col min="31" max="31" width="9.5703125" bestFit="1" customWidth="1"/>
  </cols>
  <sheetData>
    <row r="1" spans="1:31" s="12" customFormat="1" ht="15.75" thickBot="1" x14ac:dyDescent="0.3">
      <c r="A1" s="9"/>
      <c r="B1" s="9"/>
      <c r="C1" s="9"/>
      <c r="D1" s="9"/>
      <c r="E1" s="9"/>
      <c r="F1" s="9"/>
      <c r="G1" s="10" t="s">
        <v>0</v>
      </c>
      <c r="H1" s="11"/>
      <c r="I1" s="10" t="s">
        <v>1</v>
      </c>
      <c r="J1" s="11"/>
      <c r="K1" s="10" t="s">
        <v>2</v>
      </c>
      <c r="L1" s="11"/>
      <c r="M1" s="10" t="s">
        <v>3</v>
      </c>
      <c r="N1" s="11"/>
      <c r="O1" s="10" t="s">
        <v>4</v>
      </c>
      <c r="P1" s="11"/>
      <c r="Q1" s="10" t="s">
        <v>5</v>
      </c>
      <c r="R1" s="11"/>
      <c r="S1" s="10" t="s">
        <v>6</v>
      </c>
      <c r="T1" s="11"/>
      <c r="U1" s="10" t="s">
        <v>7</v>
      </c>
      <c r="V1" s="11"/>
      <c r="W1" s="10" t="s">
        <v>8</v>
      </c>
      <c r="X1" s="11"/>
      <c r="Y1" s="10" t="s">
        <v>9</v>
      </c>
      <c r="Z1" s="11"/>
      <c r="AA1" s="10" t="s">
        <v>10</v>
      </c>
      <c r="AB1" s="11"/>
      <c r="AC1" s="10" t="s">
        <v>11</v>
      </c>
      <c r="AD1" s="11"/>
      <c r="AE1" s="10" t="s">
        <v>12</v>
      </c>
    </row>
    <row r="2" spans="1:31" ht="15.75" thickTop="1" x14ac:dyDescent="0.25">
      <c r="A2" s="1" t="s">
        <v>13</v>
      </c>
      <c r="B2" s="1"/>
      <c r="C2" s="1"/>
      <c r="D2" s="1"/>
      <c r="E2" s="1"/>
      <c r="F2" s="1"/>
      <c r="G2" s="2"/>
      <c r="H2" s="3"/>
      <c r="I2" s="2"/>
      <c r="J2" s="3"/>
      <c r="K2" s="2"/>
      <c r="L2" s="3"/>
      <c r="M2" s="2"/>
      <c r="N2" s="3"/>
      <c r="O2" s="2"/>
      <c r="P2" s="3"/>
      <c r="Q2" s="2"/>
      <c r="R2" s="3"/>
      <c r="S2" s="2"/>
      <c r="T2" s="3"/>
      <c r="U2" s="2"/>
      <c r="V2" s="3"/>
      <c r="W2" s="2"/>
      <c r="X2" s="3"/>
      <c r="Y2" s="2"/>
      <c r="Z2" s="3"/>
      <c r="AA2" s="2"/>
      <c r="AB2" s="3"/>
      <c r="AC2" s="2"/>
      <c r="AD2" s="3"/>
      <c r="AE2" s="2"/>
    </row>
    <row r="3" spans="1:31" x14ac:dyDescent="0.25">
      <c r="A3" s="1"/>
      <c r="B3" s="1" t="s">
        <v>14</v>
      </c>
      <c r="C3" s="1"/>
      <c r="D3" s="1"/>
      <c r="E3" s="1"/>
      <c r="F3" s="1"/>
      <c r="G3" s="2"/>
      <c r="H3" s="3"/>
      <c r="I3" s="2"/>
      <c r="J3" s="3"/>
      <c r="K3" s="2"/>
      <c r="L3" s="3"/>
      <c r="M3" s="2"/>
      <c r="N3" s="3"/>
      <c r="O3" s="2"/>
      <c r="P3" s="3"/>
      <c r="Q3" s="2"/>
      <c r="R3" s="3"/>
      <c r="S3" s="2"/>
      <c r="T3" s="3"/>
      <c r="U3" s="2"/>
      <c r="V3" s="3"/>
      <c r="W3" s="2"/>
      <c r="X3" s="3"/>
      <c r="Y3" s="2"/>
      <c r="Z3" s="3"/>
      <c r="AA3" s="2"/>
      <c r="AB3" s="3"/>
      <c r="AC3" s="2"/>
      <c r="AD3" s="3"/>
      <c r="AE3" s="2"/>
    </row>
    <row r="4" spans="1:31" x14ac:dyDescent="0.25">
      <c r="A4" s="1"/>
      <c r="B4" s="1"/>
      <c r="C4" s="1" t="s">
        <v>15</v>
      </c>
      <c r="D4" s="1"/>
      <c r="E4" s="1"/>
      <c r="F4" s="1"/>
      <c r="G4" s="2"/>
      <c r="H4" s="3"/>
      <c r="I4" s="2"/>
      <c r="J4" s="3"/>
      <c r="K4" s="2"/>
      <c r="L4" s="3"/>
      <c r="M4" s="2"/>
      <c r="N4" s="3"/>
      <c r="O4" s="2"/>
      <c r="P4" s="3"/>
      <c r="Q4" s="2"/>
      <c r="R4" s="3"/>
      <c r="S4" s="2"/>
      <c r="T4" s="3"/>
      <c r="U4" s="2"/>
      <c r="V4" s="3"/>
      <c r="W4" s="2"/>
      <c r="X4" s="3"/>
      <c r="Y4" s="2"/>
      <c r="Z4" s="3"/>
      <c r="AA4" s="2"/>
      <c r="AB4" s="3"/>
      <c r="AC4" s="2"/>
      <c r="AD4" s="3"/>
      <c r="AE4" s="2"/>
    </row>
    <row r="5" spans="1:31" x14ac:dyDescent="0.25">
      <c r="A5" s="1"/>
      <c r="B5" s="1"/>
      <c r="C5" s="1"/>
      <c r="D5" s="1" t="s">
        <v>16</v>
      </c>
      <c r="E5" s="1"/>
      <c r="F5" s="1"/>
      <c r="G5" s="2">
        <v>87446.98</v>
      </c>
      <c r="H5" s="3"/>
      <c r="I5" s="2">
        <v>-90694.98</v>
      </c>
      <c r="J5" s="3"/>
      <c r="K5" s="2">
        <v>0</v>
      </c>
      <c r="L5" s="3"/>
      <c r="M5" s="2">
        <v>0</v>
      </c>
      <c r="N5" s="3"/>
      <c r="O5" s="2">
        <v>0</v>
      </c>
      <c r="P5" s="3"/>
      <c r="Q5" s="2">
        <v>0</v>
      </c>
      <c r="R5" s="3"/>
      <c r="S5" s="2">
        <v>0</v>
      </c>
      <c r="T5" s="3"/>
      <c r="U5" s="2">
        <v>0</v>
      </c>
      <c r="V5" s="3"/>
      <c r="W5" s="2">
        <v>0</v>
      </c>
      <c r="X5" s="3"/>
      <c r="Y5" s="2">
        <v>36012</v>
      </c>
      <c r="Z5" s="3"/>
      <c r="AA5" s="2">
        <v>0</v>
      </c>
      <c r="AB5" s="3"/>
      <c r="AC5" s="2">
        <v>0</v>
      </c>
      <c r="AD5" s="3"/>
      <c r="AE5" s="2">
        <f t="shared" ref="AE5:AE13" si="0">ROUND(SUM(G5:AC5),5)</f>
        <v>32764</v>
      </c>
    </row>
    <row r="6" spans="1:31" x14ac:dyDescent="0.25">
      <c r="A6" s="1"/>
      <c r="B6" s="1"/>
      <c r="C6" s="1"/>
      <c r="D6" s="1" t="s">
        <v>17</v>
      </c>
      <c r="E6" s="1"/>
      <c r="F6" s="1"/>
      <c r="G6" s="2">
        <v>0</v>
      </c>
      <c r="H6" s="3"/>
      <c r="I6" s="2">
        <v>0</v>
      </c>
      <c r="J6" s="3"/>
      <c r="K6" s="2">
        <v>0</v>
      </c>
      <c r="L6" s="3"/>
      <c r="M6" s="2">
        <v>0</v>
      </c>
      <c r="N6" s="3"/>
      <c r="O6" s="2">
        <v>0</v>
      </c>
      <c r="P6" s="3"/>
      <c r="Q6" s="2">
        <v>250000</v>
      </c>
      <c r="R6" s="3"/>
      <c r="S6" s="2">
        <v>0</v>
      </c>
      <c r="T6" s="3"/>
      <c r="U6" s="2">
        <v>0</v>
      </c>
      <c r="V6" s="3"/>
      <c r="W6" s="2">
        <v>0</v>
      </c>
      <c r="X6" s="3"/>
      <c r="Y6" s="2">
        <v>0</v>
      </c>
      <c r="Z6" s="3"/>
      <c r="AA6" s="2">
        <v>0</v>
      </c>
      <c r="AB6" s="3"/>
      <c r="AC6" s="2">
        <v>0</v>
      </c>
      <c r="AD6" s="3"/>
      <c r="AE6" s="2">
        <f t="shared" si="0"/>
        <v>250000</v>
      </c>
    </row>
    <row r="7" spans="1:31" x14ac:dyDescent="0.25">
      <c r="A7" s="1"/>
      <c r="B7" s="1"/>
      <c r="C7" s="1"/>
      <c r="D7" s="1" t="s">
        <v>18</v>
      </c>
      <c r="E7" s="1"/>
      <c r="F7" s="1"/>
      <c r="G7" s="2">
        <v>-47144.25</v>
      </c>
      <c r="H7" s="3"/>
      <c r="I7" s="2">
        <v>-4949885.58</v>
      </c>
      <c r="J7" s="3"/>
      <c r="K7" s="2">
        <v>0</v>
      </c>
      <c r="L7" s="3"/>
      <c r="M7" s="2">
        <v>0</v>
      </c>
      <c r="N7" s="3"/>
      <c r="O7" s="2">
        <v>0</v>
      </c>
      <c r="P7" s="3"/>
      <c r="Q7" s="2">
        <v>-3489795.73</v>
      </c>
      <c r="R7" s="3"/>
      <c r="S7" s="2">
        <v>-89586.08</v>
      </c>
      <c r="T7" s="3"/>
      <c r="U7" s="2">
        <v>0</v>
      </c>
      <c r="V7" s="3"/>
      <c r="W7" s="2">
        <v>-265917.03000000003</v>
      </c>
      <c r="X7" s="3"/>
      <c r="Y7" s="2">
        <v>-4592687.72</v>
      </c>
      <c r="Z7" s="3"/>
      <c r="AA7" s="2">
        <v>0</v>
      </c>
      <c r="AB7" s="3"/>
      <c r="AC7" s="2">
        <v>13514453.26</v>
      </c>
      <c r="AD7" s="3"/>
      <c r="AE7" s="2">
        <f t="shared" si="0"/>
        <v>79436.87</v>
      </c>
    </row>
    <row r="8" spans="1:31" x14ac:dyDescent="0.25">
      <c r="A8" s="1"/>
      <c r="B8" s="1"/>
      <c r="C8" s="1"/>
      <c r="D8" s="1" t="s">
        <v>19</v>
      </c>
      <c r="E8" s="1"/>
      <c r="F8" s="1"/>
      <c r="G8" s="2">
        <v>0</v>
      </c>
      <c r="H8" s="3"/>
      <c r="I8" s="2">
        <v>0</v>
      </c>
      <c r="J8" s="3"/>
      <c r="K8" s="2">
        <v>0</v>
      </c>
      <c r="L8" s="3"/>
      <c r="M8" s="2">
        <v>0</v>
      </c>
      <c r="N8" s="3"/>
      <c r="O8" s="2">
        <v>0</v>
      </c>
      <c r="P8" s="3"/>
      <c r="Q8" s="2">
        <v>10003.73</v>
      </c>
      <c r="R8" s="3"/>
      <c r="S8" s="2">
        <v>0</v>
      </c>
      <c r="T8" s="3"/>
      <c r="U8" s="2">
        <v>0</v>
      </c>
      <c r="V8" s="3"/>
      <c r="W8" s="2">
        <v>0</v>
      </c>
      <c r="X8" s="3"/>
      <c r="Y8" s="2">
        <v>0.52</v>
      </c>
      <c r="Z8" s="3"/>
      <c r="AA8" s="2">
        <v>0</v>
      </c>
      <c r="AB8" s="3"/>
      <c r="AC8" s="2">
        <v>39994.44</v>
      </c>
      <c r="AD8" s="3"/>
      <c r="AE8" s="2">
        <f t="shared" si="0"/>
        <v>49998.69</v>
      </c>
    </row>
    <row r="9" spans="1:31" x14ac:dyDescent="0.25">
      <c r="A9" s="1"/>
      <c r="B9" s="1"/>
      <c r="C9" s="1"/>
      <c r="D9" s="1" t="s">
        <v>20</v>
      </c>
      <c r="E9" s="1"/>
      <c r="F9" s="1"/>
      <c r="G9" s="2">
        <v>215978.54</v>
      </c>
      <c r="H9" s="3"/>
      <c r="I9" s="2">
        <v>12181272.77</v>
      </c>
      <c r="J9" s="3"/>
      <c r="K9" s="2">
        <v>-19570.78</v>
      </c>
      <c r="L9" s="3"/>
      <c r="M9" s="2">
        <v>0</v>
      </c>
      <c r="N9" s="3"/>
      <c r="O9" s="2">
        <v>-900</v>
      </c>
      <c r="P9" s="3"/>
      <c r="Q9" s="2">
        <v>-2312425.34</v>
      </c>
      <c r="R9" s="3"/>
      <c r="S9" s="2">
        <v>902551.23</v>
      </c>
      <c r="T9" s="3"/>
      <c r="U9" s="2">
        <v>-29228.39</v>
      </c>
      <c r="V9" s="3"/>
      <c r="W9" s="2">
        <v>-10807.65</v>
      </c>
      <c r="X9" s="3"/>
      <c r="Y9" s="2">
        <v>11321732.48</v>
      </c>
      <c r="Z9" s="3"/>
      <c r="AA9" s="2">
        <v>131.65</v>
      </c>
      <c r="AB9" s="3"/>
      <c r="AC9" s="2">
        <v>-22194077.219999999</v>
      </c>
      <c r="AD9" s="3"/>
      <c r="AE9" s="2">
        <f t="shared" si="0"/>
        <v>54657.29</v>
      </c>
    </row>
    <row r="10" spans="1:31" x14ac:dyDescent="0.25">
      <c r="A10" s="1"/>
      <c r="B10" s="1"/>
      <c r="C10" s="1"/>
      <c r="D10" s="1" t="s">
        <v>21</v>
      </c>
      <c r="E10" s="1"/>
      <c r="F10" s="1"/>
      <c r="G10" s="2">
        <v>0</v>
      </c>
      <c r="H10" s="3"/>
      <c r="I10" s="2">
        <v>92.15</v>
      </c>
      <c r="J10" s="3"/>
      <c r="K10" s="2">
        <v>0</v>
      </c>
      <c r="L10" s="3"/>
      <c r="M10" s="2">
        <v>0</v>
      </c>
      <c r="N10" s="3"/>
      <c r="O10" s="2">
        <v>0</v>
      </c>
      <c r="P10" s="3"/>
      <c r="Q10" s="2">
        <v>-1999991.23</v>
      </c>
      <c r="R10" s="3"/>
      <c r="S10" s="2">
        <v>0</v>
      </c>
      <c r="T10" s="3"/>
      <c r="U10" s="2">
        <v>0</v>
      </c>
      <c r="V10" s="3"/>
      <c r="W10" s="2">
        <v>0</v>
      </c>
      <c r="X10" s="3"/>
      <c r="Y10" s="2">
        <v>244.65</v>
      </c>
      <c r="Z10" s="3"/>
      <c r="AA10" s="2">
        <v>0</v>
      </c>
      <c r="AB10" s="3"/>
      <c r="AC10" s="2">
        <v>1999621.27</v>
      </c>
      <c r="AD10" s="3"/>
      <c r="AE10" s="2">
        <f t="shared" si="0"/>
        <v>-33.159999999999997</v>
      </c>
    </row>
    <row r="11" spans="1:31" x14ac:dyDescent="0.25">
      <c r="A11" s="1"/>
      <c r="B11" s="1"/>
      <c r="C11" s="1"/>
      <c r="D11" s="1" t="s">
        <v>22</v>
      </c>
      <c r="E11" s="1"/>
      <c r="F11" s="1"/>
      <c r="G11" s="2">
        <v>0</v>
      </c>
      <c r="H11" s="3"/>
      <c r="I11" s="2">
        <v>13315</v>
      </c>
      <c r="J11" s="3"/>
      <c r="K11" s="2">
        <v>0</v>
      </c>
      <c r="L11" s="3"/>
      <c r="M11" s="2">
        <v>0</v>
      </c>
      <c r="N11" s="3"/>
      <c r="O11" s="2">
        <v>0</v>
      </c>
      <c r="P11" s="3"/>
      <c r="Q11" s="2">
        <v>0</v>
      </c>
      <c r="R11" s="3"/>
      <c r="S11" s="2">
        <v>160</v>
      </c>
      <c r="T11" s="3"/>
      <c r="U11" s="2">
        <v>0</v>
      </c>
      <c r="V11" s="3"/>
      <c r="W11" s="2">
        <v>0</v>
      </c>
      <c r="X11" s="3"/>
      <c r="Y11" s="2">
        <v>129062.55</v>
      </c>
      <c r="Z11" s="3"/>
      <c r="AA11" s="2">
        <v>0</v>
      </c>
      <c r="AB11" s="3"/>
      <c r="AC11" s="2">
        <v>-102832.42</v>
      </c>
      <c r="AD11" s="3"/>
      <c r="AE11" s="2">
        <f t="shared" si="0"/>
        <v>39705.129999999997</v>
      </c>
    </row>
    <row r="12" spans="1:31" ht="15.75" thickBot="1" x14ac:dyDescent="0.3">
      <c r="A12" s="1"/>
      <c r="B12" s="1"/>
      <c r="C12" s="1"/>
      <c r="D12" s="1" t="s">
        <v>23</v>
      </c>
      <c r="E12" s="1"/>
      <c r="F12" s="1"/>
      <c r="G12" s="4">
        <v>0</v>
      </c>
      <c r="H12" s="3"/>
      <c r="I12" s="4">
        <v>64212.2</v>
      </c>
      <c r="J12" s="3"/>
      <c r="K12" s="4">
        <v>0</v>
      </c>
      <c r="L12" s="3"/>
      <c r="M12" s="4">
        <v>0</v>
      </c>
      <c r="N12" s="3"/>
      <c r="O12" s="4">
        <v>0</v>
      </c>
      <c r="P12" s="3"/>
      <c r="Q12" s="4">
        <v>0</v>
      </c>
      <c r="R12" s="3"/>
      <c r="S12" s="4">
        <v>0</v>
      </c>
      <c r="T12" s="3"/>
      <c r="U12" s="4">
        <v>0</v>
      </c>
      <c r="V12" s="3"/>
      <c r="W12" s="4">
        <v>0</v>
      </c>
      <c r="X12" s="3"/>
      <c r="Y12" s="4">
        <v>10259.799999999999</v>
      </c>
      <c r="Z12" s="3"/>
      <c r="AA12" s="4">
        <v>0</v>
      </c>
      <c r="AB12" s="3"/>
      <c r="AC12" s="4">
        <v>0</v>
      </c>
      <c r="AD12" s="3"/>
      <c r="AE12" s="4">
        <f t="shared" si="0"/>
        <v>74472</v>
      </c>
    </row>
    <row r="13" spans="1:31" x14ac:dyDescent="0.25">
      <c r="A13" s="1"/>
      <c r="B13" s="1"/>
      <c r="C13" s="1" t="s">
        <v>24</v>
      </c>
      <c r="D13" s="1"/>
      <c r="E13" s="1"/>
      <c r="F13" s="1"/>
      <c r="G13" s="2">
        <f>ROUND(SUM(G4:G12),5)</f>
        <v>256281.27</v>
      </c>
      <c r="H13" s="3"/>
      <c r="I13" s="2">
        <f>ROUND(SUM(I4:I12),5)</f>
        <v>7218311.5599999996</v>
      </c>
      <c r="J13" s="3"/>
      <c r="K13" s="2">
        <f>ROUND(SUM(K4:K12),5)</f>
        <v>-19570.78</v>
      </c>
      <c r="L13" s="3"/>
      <c r="M13" s="2">
        <f>ROUND(SUM(M4:M12),5)</f>
        <v>0</v>
      </c>
      <c r="N13" s="3"/>
      <c r="O13" s="2">
        <f>ROUND(SUM(O4:O12),5)</f>
        <v>-900</v>
      </c>
      <c r="P13" s="3"/>
      <c r="Q13" s="2">
        <f>ROUND(SUM(Q4:Q12),5)</f>
        <v>-7542208.5700000003</v>
      </c>
      <c r="R13" s="3"/>
      <c r="S13" s="2">
        <f>ROUND(SUM(S4:S12),5)</f>
        <v>813125.15</v>
      </c>
      <c r="T13" s="3"/>
      <c r="U13" s="2">
        <f>ROUND(SUM(U4:U12),5)</f>
        <v>-29228.39</v>
      </c>
      <c r="V13" s="3"/>
      <c r="W13" s="2">
        <f>ROUND(SUM(W4:W12),5)</f>
        <v>-276724.68</v>
      </c>
      <c r="X13" s="3"/>
      <c r="Y13" s="2">
        <f>ROUND(SUM(Y4:Y12),5)</f>
        <v>6904624.2800000003</v>
      </c>
      <c r="Z13" s="3"/>
      <c r="AA13" s="2">
        <f>ROUND(SUM(AA4:AA12),5)</f>
        <v>131.65</v>
      </c>
      <c r="AB13" s="3"/>
      <c r="AC13" s="2">
        <f>ROUND(SUM(AC4:AC12),5)</f>
        <v>-6742840.6699999999</v>
      </c>
      <c r="AD13" s="3"/>
      <c r="AE13" s="2">
        <f t="shared" si="0"/>
        <v>581000.81999999995</v>
      </c>
    </row>
    <row r="14" spans="1:31" x14ac:dyDescent="0.25">
      <c r="A14" s="1"/>
      <c r="B14" s="1"/>
      <c r="C14" s="1" t="s">
        <v>25</v>
      </c>
      <c r="D14" s="1"/>
      <c r="E14" s="1"/>
      <c r="F14" s="1"/>
      <c r="G14" s="2"/>
      <c r="H14" s="3"/>
      <c r="I14" s="2"/>
      <c r="J14" s="3"/>
      <c r="K14" s="2"/>
      <c r="L14" s="3"/>
      <c r="M14" s="2"/>
      <c r="N14" s="3"/>
      <c r="O14" s="2"/>
      <c r="P14" s="3"/>
      <c r="Q14" s="2"/>
      <c r="R14" s="3"/>
      <c r="S14" s="2"/>
      <c r="T14" s="3"/>
      <c r="U14" s="2"/>
      <c r="V14" s="3"/>
      <c r="W14" s="2"/>
      <c r="X14" s="3"/>
      <c r="Y14" s="2"/>
      <c r="Z14" s="3"/>
      <c r="AA14" s="2"/>
      <c r="AB14" s="3"/>
      <c r="AC14" s="2"/>
      <c r="AD14" s="3"/>
      <c r="AE14" s="2"/>
    </row>
    <row r="15" spans="1:31" x14ac:dyDescent="0.25">
      <c r="A15" s="1"/>
      <c r="B15" s="1"/>
      <c r="C15" s="1"/>
      <c r="D15" s="1" t="s">
        <v>25</v>
      </c>
      <c r="E15" s="1"/>
      <c r="F15" s="1"/>
      <c r="G15" s="2">
        <v>52608.88</v>
      </c>
      <c r="H15" s="3"/>
      <c r="I15" s="2">
        <v>2502082.61</v>
      </c>
      <c r="J15" s="3"/>
      <c r="K15" s="2">
        <v>0</v>
      </c>
      <c r="L15" s="3"/>
      <c r="M15" s="2">
        <v>0</v>
      </c>
      <c r="N15" s="3"/>
      <c r="O15" s="2">
        <v>0</v>
      </c>
      <c r="P15" s="3"/>
      <c r="Q15" s="2">
        <v>8870.2000000000007</v>
      </c>
      <c r="R15" s="3"/>
      <c r="S15" s="2">
        <v>457908.35</v>
      </c>
      <c r="T15" s="3"/>
      <c r="U15" s="2">
        <v>0</v>
      </c>
      <c r="V15" s="3"/>
      <c r="W15" s="2">
        <v>0</v>
      </c>
      <c r="X15" s="3"/>
      <c r="Y15" s="2">
        <v>1129498.51</v>
      </c>
      <c r="Z15" s="3"/>
      <c r="AA15" s="2">
        <v>2.11</v>
      </c>
      <c r="AB15" s="3"/>
      <c r="AC15" s="2">
        <v>-47102.720000000001</v>
      </c>
      <c r="AD15" s="3"/>
      <c r="AE15" s="2">
        <f>ROUND(SUM(G15:AC15),5)</f>
        <v>4103867.94</v>
      </c>
    </row>
    <row r="16" spans="1:31" ht="15.75" thickBot="1" x14ac:dyDescent="0.3">
      <c r="A16" s="1"/>
      <c r="B16" s="1"/>
      <c r="C16" s="1"/>
      <c r="D16" s="1" t="s">
        <v>26</v>
      </c>
      <c r="E16" s="1"/>
      <c r="F16" s="1"/>
      <c r="G16" s="4">
        <v>0</v>
      </c>
      <c r="H16" s="3"/>
      <c r="I16" s="4">
        <v>0</v>
      </c>
      <c r="J16" s="3"/>
      <c r="K16" s="4">
        <v>0</v>
      </c>
      <c r="L16" s="3"/>
      <c r="M16" s="4">
        <v>0</v>
      </c>
      <c r="N16" s="3"/>
      <c r="O16" s="4">
        <v>0</v>
      </c>
      <c r="P16" s="3"/>
      <c r="Q16" s="4">
        <v>0</v>
      </c>
      <c r="R16" s="3"/>
      <c r="S16" s="4">
        <v>120.75</v>
      </c>
      <c r="T16" s="3"/>
      <c r="U16" s="4">
        <v>0</v>
      </c>
      <c r="V16" s="3"/>
      <c r="W16" s="4">
        <v>0</v>
      </c>
      <c r="X16" s="3"/>
      <c r="Y16" s="4">
        <v>0</v>
      </c>
      <c r="Z16" s="3"/>
      <c r="AA16" s="4">
        <v>0</v>
      </c>
      <c r="AB16" s="3"/>
      <c r="AC16" s="4">
        <v>0</v>
      </c>
      <c r="AD16" s="3"/>
      <c r="AE16" s="4">
        <f>ROUND(SUM(G16:AC16),5)</f>
        <v>120.75</v>
      </c>
    </row>
    <row r="17" spans="1:31" x14ac:dyDescent="0.25">
      <c r="A17" s="1"/>
      <c r="B17" s="1"/>
      <c r="C17" s="1" t="s">
        <v>27</v>
      </c>
      <c r="D17" s="1"/>
      <c r="E17" s="1"/>
      <c r="F17" s="1"/>
      <c r="G17" s="2">
        <f>ROUND(SUM(G14:G16),5)</f>
        <v>52608.88</v>
      </c>
      <c r="H17" s="3"/>
      <c r="I17" s="2">
        <f>ROUND(SUM(I14:I16),5)</f>
        <v>2502082.61</v>
      </c>
      <c r="J17" s="3"/>
      <c r="K17" s="2">
        <f>ROUND(SUM(K14:K16),5)</f>
        <v>0</v>
      </c>
      <c r="L17" s="3"/>
      <c r="M17" s="2">
        <f>ROUND(SUM(M14:M16),5)</f>
        <v>0</v>
      </c>
      <c r="N17" s="3"/>
      <c r="O17" s="2">
        <f>ROUND(SUM(O14:O16),5)</f>
        <v>0</v>
      </c>
      <c r="P17" s="3"/>
      <c r="Q17" s="2">
        <f>ROUND(SUM(Q14:Q16),5)</f>
        <v>8870.2000000000007</v>
      </c>
      <c r="R17" s="3"/>
      <c r="S17" s="2">
        <f>ROUND(SUM(S14:S16),5)</f>
        <v>458029.1</v>
      </c>
      <c r="T17" s="3"/>
      <c r="U17" s="2">
        <f>ROUND(SUM(U14:U16),5)</f>
        <v>0</v>
      </c>
      <c r="V17" s="3"/>
      <c r="W17" s="2">
        <f>ROUND(SUM(W14:W16),5)</f>
        <v>0</v>
      </c>
      <c r="X17" s="3"/>
      <c r="Y17" s="2">
        <f>ROUND(SUM(Y14:Y16),5)</f>
        <v>1129498.51</v>
      </c>
      <c r="Z17" s="3"/>
      <c r="AA17" s="2">
        <f>ROUND(SUM(AA14:AA16),5)</f>
        <v>2.11</v>
      </c>
      <c r="AB17" s="3"/>
      <c r="AC17" s="2">
        <f>ROUND(SUM(AC14:AC16),5)</f>
        <v>-47102.720000000001</v>
      </c>
      <c r="AD17" s="3"/>
      <c r="AE17" s="2">
        <f>ROUND(SUM(G17:AC17),5)</f>
        <v>4103988.69</v>
      </c>
    </row>
    <row r="18" spans="1:31" x14ac:dyDescent="0.25">
      <c r="A18" s="1"/>
      <c r="B18" s="1"/>
      <c r="C18" s="1" t="s">
        <v>28</v>
      </c>
      <c r="D18" s="1"/>
      <c r="E18" s="1"/>
      <c r="F18" s="1"/>
      <c r="G18" s="2"/>
      <c r="H18" s="3"/>
      <c r="I18" s="2"/>
      <c r="J18" s="3"/>
      <c r="K18" s="2"/>
      <c r="L18" s="3"/>
      <c r="M18" s="2"/>
      <c r="N18" s="3"/>
      <c r="O18" s="2"/>
      <c r="P18" s="3"/>
      <c r="Q18" s="2"/>
      <c r="R18" s="3"/>
      <c r="S18" s="2"/>
      <c r="T18" s="3"/>
      <c r="U18" s="2"/>
      <c r="V18" s="3"/>
      <c r="W18" s="2"/>
      <c r="X18" s="3"/>
      <c r="Y18" s="2"/>
      <c r="Z18" s="3"/>
      <c r="AA18" s="2"/>
      <c r="AB18" s="3"/>
      <c r="AC18" s="2"/>
      <c r="AD18" s="3"/>
      <c r="AE18" s="2"/>
    </row>
    <row r="19" spans="1:31" x14ac:dyDescent="0.25">
      <c r="A19" s="1"/>
      <c r="B19" s="1"/>
      <c r="C19" s="1"/>
      <c r="D19" s="1" t="s">
        <v>29</v>
      </c>
      <c r="E19" s="1"/>
      <c r="F19" s="1"/>
      <c r="G19" s="2">
        <v>-12</v>
      </c>
      <c r="H19" s="3"/>
      <c r="I19" s="2">
        <v>3666.86</v>
      </c>
      <c r="J19" s="3"/>
      <c r="K19" s="2">
        <v>0</v>
      </c>
      <c r="L19" s="3"/>
      <c r="M19" s="2">
        <v>0</v>
      </c>
      <c r="N19" s="3"/>
      <c r="O19" s="2">
        <v>0</v>
      </c>
      <c r="P19" s="3"/>
      <c r="Q19" s="2">
        <v>-2188</v>
      </c>
      <c r="R19" s="3"/>
      <c r="S19" s="2">
        <v>0</v>
      </c>
      <c r="T19" s="3"/>
      <c r="U19" s="2">
        <v>0</v>
      </c>
      <c r="V19" s="3"/>
      <c r="W19" s="2">
        <v>0</v>
      </c>
      <c r="X19" s="3"/>
      <c r="Y19" s="2">
        <v>1694.39</v>
      </c>
      <c r="Z19" s="3"/>
      <c r="AA19" s="2">
        <v>0</v>
      </c>
      <c r="AB19" s="3"/>
      <c r="AC19" s="2">
        <v>-773.97</v>
      </c>
      <c r="AD19" s="3"/>
      <c r="AE19" s="2">
        <f t="shared" ref="AE19:AE24" si="1">ROUND(SUM(G19:AC19),5)</f>
        <v>2387.2800000000002</v>
      </c>
    </row>
    <row r="20" spans="1:31" x14ac:dyDescent="0.25">
      <c r="A20" s="1"/>
      <c r="B20" s="1"/>
      <c r="C20" s="1"/>
      <c r="D20" s="1" t="s">
        <v>30</v>
      </c>
      <c r="E20" s="1"/>
      <c r="F20" s="1"/>
      <c r="G20" s="2">
        <v>0</v>
      </c>
      <c r="H20" s="3"/>
      <c r="I20" s="2">
        <v>-19352.97</v>
      </c>
      <c r="J20" s="3"/>
      <c r="K20" s="2">
        <v>0</v>
      </c>
      <c r="L20" s="3"/>
      <c r="M20" s="2">
        <v>0</v>
      </c>
      <c r="N20" s="3"/>
      <c r="O20" s="2">
        <v>0</v>
      </c>
      <c r="P20" s="3"/>
      <c r="Q20" s="2">
        <v>0</v>
      </c>
      <c r="R20" s="3"/>
      <c r="S20" s="2">
        <v>0</v>
      </c>
      <c r="T20" s="3"/>
      <c r="U20" s="2">
        <v>0</v>
      </c>
      <c r="V20" s="3"/>
      <c r="W20" s="2">
        <v>0</v>
      </c>
      <c r="X20" s="3"/>
      <c r="Y20" s="2">
        <v>19352.97</v>
      </c>
      <c r="Z20" s="3"/>
      <c r="AA20" s="2">
        <v>0</v>
      </c>
      <c r="AB20" s="3"/>
      <c r="AC20" s="2">
        <v>0</v>
      </c>
      <c r="AD20" s="3"/>
      <c r="AE20" s="2">
        <f t="shared" si="1"/>
        <v>0</v>
      </c>
    </row>
    <row r="21" spans="1:31" x14ac:dyDescent="0.25">
      <c r="A21" s="1"/>
      <c r="B21" s="1"/>
      <c r="C21" s="1"/>
      <c r="D21" s="1" t="s">
        <v>31</v>
      </c>
      <c r="E21" s="1"/>
      <c r="F21" s="1"/>
      <c r="G21" s="2">
        <v>0</v>
      </c>
      <c r="H21" s="3"/>
      <c r="I21" s="2">
        <v>35000</v>
      </c>
      <c r="J21" s="3"/>
      <c r="K21" s="2">
        <v>0</v>
      </c>
      <c r="L21" s="3"/>
      <c r="M21" s="2">
        <v>0</v>
      </c>
      <c r="N21" s="3"/>
      <c r="O21" s="2">
        <v>0</v>
      </c>
      <c r="P21" s="3"/>
      <c r="Q21" s="2">
        <v>-121421</v>
      </c>
      <c r="R21" s="3"/>
      <c r="S21" s="2">
        <v>0</v>
      </c>
      <c r="T21" s="3"/>
      <c r="U21" s="2">
        <v>0</v>
      </c>
      <c r="V21" s="3"/>
      <c r="W21" s="2">
        <v>0</v>
      </c>
      <c r="X21" s="3"/>
      <c r="Y21" s="2">
        <v>35000</v>
      </c>
      <c r="Z21" s="3"/>
      <c r="AA21" s="2">
        <v>0</v>
      </c>
      <c r="AB21" s="3"/>
      <c r="AC21" s="2">
        <v>51421</v>
      </c>
      <c r="AD21" s="3"/>
      <c r="AE21" s="2">
        <f t="shared" si="1"/>
        <v>0</v>
      </c>
    </row>
    <row r="22" spans="1:31" ht="15.75" thickBot="1" x14ac:dyDescent="0.3">
      <c r="A22" s="1"/>
      <c r="B22" s="1"/>
      <c r="C22" s="1"/>
      <c r="D22" s="1" t="s">
        <v>32</v>
      </c>
      <c r="E22" s="1"/>
      <c r="F22" s="1"/>
      <c r="G22" s="2">
        <v>0</v>
      </c>
      <c r="H22" s="3"/>
      <c r="I22" s="2">
        <v>-246419</v>
      </c>
      <c r="J22" s="3"/>
      <c r="K22" s="2">
        <v>0</v>
      </c>
      <c r="L22" s="3"/>
      <c r="M22" s="2">
        <v>0</v>
      </c>
      <c r="N22" s="3"/>
      <c r="O22" s="2">
        <v>0</v>
      </c>
      <c r="P22" s="3"/>
      <c r="Q22" s="2">
        <v>0</v>
      </c>
      <c r="R22" s="3"/>
      <c r="S22" s="2">
        <v>0</v>
      </c>
      <c r="T22" s="3"/>
      <c r="U22" s="2">
        <v>0</v>
      </c>
      <c r="V22" s="3"/>
      <c r="W22" s="2">
        <v>0</v>
      </c>
      <c r="X22" s="3"/>
      <c r="Y22" s="2">
        <v>0</v>
      </c>
      <c r="Z22" s="3"/>
      <c r="AA22" s="2">
        <v>0</v>
      </c>
      <c r="AB22" s="3"/>
      <c r="AC22" s="2">
        <v>0</v>
      </c>
      <c r="AD22" s="3"/>
      <c r="AE22" s="2">
        <f t="shared" si="1"/>
        <v>-246419</v>
      </c>
    </row>
    <row r="23" spans="1:31" ht="15.75" thickBot="1" x14ac:dyDescent="0.3">
      <c r="A23" s="1"/>
      <c r="B23" s="1"/>
      <c r="C23" s="1" t="s">
        <v>33</v>
      </c>
      <c r="D23" s="1"/>
      <c r="E23" s="1"/>
      <c r="F23" s="1"/>
      <c r="G23" s="5">
        <f>ROUND(SUM(G18:G22),5)</f>
        <v>-12</v>
      </c>
      <c r="H23" s="3"/>
      <c r="I23" s="5">
        <f>ROUND(SUM(I18:I22),5)</f>
        <v>-227105.11</v>
      </c>
      <c r="J23" s="3"/>
      <c r="K23" s="5">
        <f>ROUND(SUM(K18:K22),5)</f>
        <v>0</v>
      </c>
      <c r="L23" s="3"/>
      <c r="M23" s="5">
        <f>ROUND(SUM(M18:M22),5)</f>
        <v>0</v>
      </c>
      <c r="N23" s="3"/>
      <c r="O23" s="5">
        <f>ROUND(SUM(O18:O22),5)</f>
        <v>0</v>
      </c>
      <c r="P23" s="3"/>
      <c r="Q23" s="5">
        <f>ROUND(SUM(Q18:Q22),5)</f>
        <v>-123609</v>
      </c>
      <c r="R23" s="3"/>
      <c r="S23" s="5">
        <f>ROUND(SUM(S18:S22),5)</f>
        <v>0</v>
      </c>
      <c r="T23" s="3"/>
      <c r="U23" s="5">
        <f>ROUND(SUM(U18:U22),5)</f>
        <v>0</v>
      </c>
      <c r="V23" s="3"/>
      <c r="W23" s="5">
        <f>ROUND(SUM(W18:W22),5)</f>
        <v>0</v>
      </c>
      <c r="X23" s="3"/>
      <c r="Y23" s="5">
        <f>ROUND(SUM(Y18:Y22),5)</f>
        <v>56047.360000000001</v>
      </c>
      <c r="Z23" s="3"/>
      <c r="AA23" s="5">
        <f>ROUND(SUM(AA18:AA22),5)</f>
        <v>0</v>
      </c>
      <c r="AB23" s="3"/>
      <c r="AC23" s="5">
        <f>ROUND(SUM(AC18:AC22),5)</f>
        <v>50647.03</v>
      </c>
      <c r="AD23" s="3"/>
      <c r="AE23" s="5">
        <f t="shared" si="1"/>
        <v>-244031.72</v>
      </c>
    </row>
    <row r="24" spans="1:31" x14ac:dyDescent="0.25">
      <c r="A24" s="1"/>
      <c r="B24" s="1" t="s">
        <v>34</v>
      </c>
      <c r="C24" s="1"/>
      <c r="D24" s="1"/>
      <c r="E24" s="1"/>
      <c r="F24" s="1"/>
      <c r="G24" s="2">
        <f>ROUND(G3+G13+G17+G23,5)</f>
        <v>308878.15000000002</v>
      </c>
      <c r="H24" s="3"/>
      <c r="I24" s="2">
        <f>ROUND(I3+I13+I17+I23,5)</f>
        <v>9493289.0600000005</v>
      </c>
      <c r="J24" s="3"/>
      <c r="K24" s="2">
        <f>ROUND(K3+K13+K17+K23,5)</f>
        <v>-19570.78</v>
      </c>
      <c r="L24" s="3"/>
      <c r="M24" s="2">
        <f>ROUND(M3+M13+M17+M23,5)</f>
        <v>0</v>
      </c>
      <c r="N24" s="3"/>
      <c r="O24" s="2">
        <f>ROUND(O3+O13+O17+O23,5)</f>
        <v>-900</v>
      </c>
      <c r="P24" s="3"/>
      <c r="Q24" s="2">
        <f>ROUND(Q3+Q13+Q17+Q23,5)</f>
        <v>-7656947.3700000001</v>
      </c>
      <c r="R24" s="3"/>
      <c r="S24" s="2">
        <f>ROUND(S3+S13+S17+S23,5)</f>
        <v>1271154.25</v>
      </c>
      <c r="T24" s="3"/>
      <c r="U24" s="2">
        <f>ROUND(U3+U13+U17+U23,5)</f>
        <v>-29228.39</v>
      </c>
      <c r="V24" s="3"/>
      <c r="W24" s="2">
        <f>ROUND(W3+W13+W17+W23,5)</f>
        <v>-276724.68</v>
      </c>
      <c r="X24" s="3"/>
      <c r="Y24" s="2">
        <f>ROUND(Y3+Y13+Y17+Y23,5)</f>
        <v>8090170.1500000004</v>
      </c>
      <c r="Z24" s="3"/>
      <c r="AA24" s="2">
        <f>ROUND(AA3+AA13+AA17+AA23,5)</f>
        <v>133.76</v>
      </c>
      <c r="AB24" s="3"/>
      <c r="AC24" s="2">
        <f>ROUND(AC3+AC13+AC17+AC23,5)</f>
        <v>-6739296.3600000003</v>
      </c>
      <c r="AD24" s="3"/>
      <c r="AE24" s="2">
        <f t="shared" si="1"/>
        <v>4440957.79</v>
      </c>
    </row>
    <row r="25" spans="1:31" x14ac:dyDescent="0.25">
      <c r="A25" s="1"/>
      <c r="B25" s="1" t="s">
        <v>35</v>
      </c>
      <c r="C25" s="1"/>
      <c r="D25" s="1"/>
      <c r="E25" s="1"/>
      <c r="F25" s="1"/>
      <c r="G25" s="2"/>
      <c r="H25" s="3"/>
      <c r="I25" s="2"/>
      <c r="J25" s="3"/>
      <c r="K25" s="2"/>
      <c r="L25" s="3"/>
      <c r="M25" s="2"/>
      <c r="N25" s="3"/>
      <c r="O25" s="2"/>
      <c r="P25" s="3"/>
      <c r="Q25" s="2"/>
      <c r="R25" s="3"/>
      <c r="S25" s="2"/>
      <c r="T25" s="3"/>
      <c r="U25" s="2"/>
      <c r="V25" s="3"/>
      <c r="W25" s="2"/>
      <c r="X25" s="3"/>
      <c r="Y25" s="2"/>
      <c r="Z25" s="3"/>
      <c r="AA25" s="2"/>
      <c r="AB25" s="3"/>
      <c r="AC25" s="2"/>
      <c r="AD25" s="3"/>
      <c r="AE25" s="2"/>
    </row>
    <row r="26" spans="1:31" x14ac:dyDescent="0.25">
      <c r="A26" s="1"/>
      <c r="B26" s="1"/>
      <c r="C26" s="1" t="s">
        <v>36</v>
      </c>
      <c r="D26" s="1"/>
      <c r="E26" s="1"/>
      <c r="F26" s="1"/>
      <c r="G26" s="2">
        <v>0</v>
      </c>
      <c r="H26" s="3"/>
      <c r="I26" s="2">
        <v>0</v>
      </c>
      <c r="J26" s="3"/>
      <c r="K26" s="2">
        <v>0</v>
      </c>
      <c r="L26" s="3"/>
      <c r="M26" s="2">
        <v>0</v>
      </c>
      <c r="N26" s="3"/>
      <c r="O26" s="2">
        <v>0</v>
      </c>
      <c r="P26" s="3"/>
      <c r="Q26" s="2">
        <v>8481.94</v>
      </c>
      <c r="R26" s="3"/>
      <c r="S26" s="2">
        <v>0</v>
      </c>
      <c r="T26" s="3"/>
      <c r="U26" s="2">
        <v>0</v>
      </c>
      <c r="V26" s="3"/>
      <c r="W26" s="2">
        <v>0</v>
      </c>
      <c r="X26" s="3"/>
      <c r="Y26" s="2">
        <v>0</v>
      </c>
      <c r="Z26" s="3"/>
      <c r="AA26" s="2">
        <v>0</v>
      </c>
      <c r="AB26" s="3"/>
      <c r="AC26" s="2">
        <v>-444995</v>
      </c>
      <c r="AD26" s="3"/>
      <c r="AE26" s="2">
        <f>ROUND(SUM(G26:AC26),5)</f>
        <v>-436513.06</v>
      </c>
    </row>
    <row r="27" spans="1:31" x14ac:dyDescent="0.25">
      <c r="A27" s="1"/>
      <c r="B27" s="1"/>
      <c r="C27" s="1" t="s">
        <v>37</v>
      </c>
      <c r="D27" s="1"/>
      <c r="E27" s="1"/>
      <c r="F27" s="1"/>
      <c r="G27" s="2">
        <v>0</v>
      </c>
      <c r="H27" s="3"/>
      <c r="I27" s="2">
        <v>0</v>
      </c>
      <c r="J27" s="3"/>
      <c r="K27" s="2">
        <v>0</v>
      </c>
      <c r="L27" s="3"/>
      <c r="M27" s="2">
        <v>0</v>
      </c>
      <c r="N27" s="3"/>
      <c r="O27" s="2">
        <v>0</v>
      </c>
      <c r="P27" s="3"/>
      <c r="Q27" s="2">
        <v>0</v>
      </c>
      <c r="R27" s="3"/>
      <c r="S27" s="2">
        <v>0</v>
      </c>
      <c r="T27" s="3"/>
      <c r="U27" s="2">
        <v>0</v>
      </c>
      <c r="V27" s="3"/>
      <c r="W27" s="2">
        <v>2824258.81</v>
      </c>
      <c r="X27" s="3"/>
      <c r="Y27" s="2">
        <v>0</v>
      </c>
      <c r="Z27" s="3"/>
      <c r="AA27" s="2">
        <v>0</v>
      </c>
      <c r="AB27" s="3"/>
      <c r="AC27" s="2">
        <v>0</v>
      </c>
      <c r="AD27" s="3"/>
      <c r="AE27" s="2">
        <f>ROUND(SUM(G27:AC27),5)</f>
        <v>2824258.81</v>
      </c>
    </row>
    <row r="28" spans="1:31" x14ac:dyDescent="0.25">
      <c r="A28" s="1"/>
      <c r="B28" s="1"/>
      <c r="C28" s="1" t="s">
        <v>38</v>
      </c>
      <c r="D28" s="1"/>
      <c r="E28" s="1"/>
      <c r="F28" s="1"/>
      <c r="G28" s="2">
        <v>0</v>
      </c>
      <c r="H28" s="3"/>
      <c r="I28" s="2">
        <v>2833.72</v>
      </c>
      <c r="J28" s="3"/>
      <c r="K28" s="2">
        <v>0</v>
      </c>
      <c r="L28" s="3"/>
      <c r="M28" s="2">
        <v>0</v>
      </c>
      <c r="N28" s="3"/>
      <c r="O28" s="2">
        <v>0</v>
      </c>
      <c r="P28" s="3"/>
      <c r="Q28" s="2">
        <v>35113.949999999997</v>
      </c>
      <c r="R28" s="3"/>
      <c r="S28" s="2">
        <v>0</v>
      </c>
      <c r="T28" s="3"/>
      <c r="U28" s="2">
        <v>0</v>
      </c>
      <c r="V28" s="3"/>
      <c r="W28" s="2">
        <v>0</v>
      </c>
      <c r="X28" s="3"/>
      <c r="Y28" s="2">
        <v>7032.71</v>
      </c>
      <c r="Z28" s="3"/>
      <c r="AA28" s="2">
        <v>0</v>
      </c>
      <c r="AB28" s="3"/>
      <c r="AC28" s="2">
        <v>23120.39</v>
      </c>
      <c r="AD28" s="3"/>
      <c r="AE28" s="2">
        <f>ROUND(SUM(G28:AC28),5)</f>
        <v>68100.77</v>
      </c>
    </row>
    <row r="29" spans="1:31" x14ac:dyDescent="0.25">
      <c r="A29" s="1"/>
      <c r="B29" s="1"/>
      <c r="C29" s="1" t="s">
        <v>39</v>
      </c>
      <c r="D29" s="1"/>
      <c r="E29" s="1"/>
      <c r="F29" s="1"/>
      <c r="G29" s="2">
        <v>0</v>
      </c>
      <c r="H29" s="3"/>
      <c r="I29" s="2">
        <v>23050.57</v>
      </c>
      <c r="J29" s="3"/>
      <c r="K29" s="2">
        <v>0</v>
      </c>
      <c r="L29" s="3"/>
      <c r="M29" s="2">
        <v>0</v>
      </c>
      <c r="N29" s="3"/>
      <c r="O29" s="2">
        <v>0</v>
      </c>
      <c r="P29" s="3"/>
      <c r="Q29" s="2">
        <v>-4915.41</v>
      </c>
      <c r="R29" s="3"/>
      <c r="S29" s="2">
        <v>0</v>
      </c>
      <c r="T29" s="3"/>
      <c r="U29" s="2">
        <v>3367</v>
      </c>
      <c r="V29" s="3"/>
      <c r="W29" s="2">
        <v>3574</v>
      </c>
      <c r="X29" s="3"/>
      <c r="Y29" s="2">
        <v>12779.26</v>
      </c>
      <c r="Z29" s="3"/>
      <c r="AA29" s="2">
        <v>0</v>
      </c>
      <c r="AB29" s="3"/>
      <c r="AC29" s="2">
        <v>237810.88</v>
      </c>
      <c r="AD29" s="3"/>
      <c r="AE29" s="2">
        <f>ROUND(SUM(G29:AC29),5)</f>
        <v>275666.3</v>
      </c>
    </row>
    <row r="30" spans="1:31" x14ac:dyDescent="0.25">
      <c r="A30" s="1"/>
      <c r="B30" s="1"/>
      <c r="C30" s="1" t="s">
        <v>40</v>
      </c>
      <c r="D30" s="1"/>
      <c r="E30" s="1"/>
      <c r="F30" s="1"/>
      <c r="G30" s="2"/>
      <c r="H30" s="3"/>
      <c r="I30" s="2"/>
      <c r="J30" s="3"/>
      <c r="K30" s="2"/>
      <c r="L30" s="3"/>
      <c r="M30" s="2"/>
      <c r="N30" s="3"/>
      <c r="O30" s="2"/>
      <c r="P30" s="3"/>
      <c r="Q30" s="2"/>
      <c r="R30" s="3"/>
      <c r="S30" s="2"/>
      <c r="T30" s="3"/>
      <c r="U30" s="2"/>
      <c r="V30" s="3"/>
      <c r="W30" s="2"/>
      <c r="X30" s="3"/>
      <c r="Y30" s="2"/>
      <c r="Z30" s="3"/>
      <c r="AA30" s="2"/>
      <c r="AB30" s="3"/>
      <c r="AC30" s="2"/>
      <c r="AD30" s="3"/>
      <c r="AE30" s="2"/>
    </row>
    <row r="31" spans="1:31" x14ac:dyDescent="0.25">
      <c r="A31" s="1"/>
      <c r="B31" s="1"/>
      <c r="C31" s="1"/>
      <c r="D31" s="1" t="s">
        <v>41</v>
      </c>
      <c r="E31" s="1"/>
      <c r="F31" s="1"/>
      <c r="G31" s="2">
        <v>0</v>
      </c>
      <c r="H31" s="3"/>
      <c r="I31" s="2">
        <v>0</v>
      </c>
      <c r="J31" s="3"/>
      <c r="K31" s="2">
        <v>0</v>
      </c>
      <c r="L31" s="3"/>
      <c r="M31" s="2">
        <v>0</v>
      </c>
      <c r="N31" s="3"/>
      <c r="O31" s="2">
        <v>0</v>
      </c>
      <c r="P31" s="3"/>
      <c r="Q31" s="2">
        <v>-8481.94</v>
      </c>
      <c r="R31" s="3"/>
      <c r="S31" s="2">
        <v>0</v>
      </c>
      <c r="T31" s="3"/>
      <c r="U31" s="2">
        <v>0</v>
      </c>
      <c r="V31" s="3"/>
      <c r="W31" s="2">
        <v>0</v>
      </c>
      <c r="X31" s="3"/>
      <c r="Y31" s="2">
        <v>0</v>
      </c>
      <c r="Z31" s="3"/>
      <c r="AA31" s="2">
        <v>0</v>
      </c>
      <c r="AB31" s="3"/>
      <c r="AC31" s="2">
        <v>8481.94</v>
      </c>
      <c r="AD31" s="3"/>
      <c r="AE31" s="2">
        <f t="shared" ref="AE31:AE36" si="2">ROUND(SUM(G31:AC31),5)</f>
        <v>0</v>
      </c>
    </row>
    <row r="32" spans="1:31" x14ac:dyDescent="0.25">
      <c r="A32" s="1"/>
      <c r="B32" s="1"/>
      <c r="C32" s="1"/>
      <c r="D32" s="1" t="s">
        <v>42</v>
      </c>
      <c r="E32" s="1"/>
      <c r="F32" s="1"/>
      <c r="G32" s="2">
        <v>0</v>
      </c>
      <c r="H32" s="3"/>
      <c r="I32" s="2">
        <v>0</v>
      </c>
      <c r="J32" s="3"/>
      <c r="K32" s="2">
        <v>0</v>
      </c>
      <c r="L32" s="3"/>
      <c r="M32" s="2">
        <v>0</v>
      </c>
      <c r="N32" s="3"/>
      <c r="O32" s="2">
        <v>0</v>
      </c>
      <c r="P32" s="3"/>
      <c r="Q32" s="2">
        <v>0</v>
      </c>
      <c r="R32" s="3"/>
      <c r="S32" s="2">
        <v>0</v>
      </c>
      <c r="T32" s="3"/>
      <c r="U32" s="2">
        <v>0</v>
      </c>
      <c r="V32" s="3"/>
      <c r="W32" s="2">
        <v>0</v>
      </c>
      <c r="X32" s="3"/>
      <c r="Y32" s="2">
        <v>0</v>
      </c>
      <c r="Z32" s="3"/>
      <c r="AA32" s="2">
        <v>0</v>
      </c>
      <c r="AB32" s="3"/>
      <c r="AC32" s="2">
        <v>40859.79</v>
      </c>
      <c r="AD32" s="3"/>
      <c r="AE32" s="2">
        <f t="shared" si="2"/>
        <v>40859.79</v>
      </c>
    </row>
    <row r="33" spans="1:31" ht="15.75" thickBot="1" x14ac:dyDescent="0.3">
      <c r="A33" s="1"/>
      <c r="B33" s="1"/>
      <c r="C33" s="1"/>
      <c r="D33" s="1" t="s">
        <v>43</v>
      </c>
      <c r="E33" s="1"/>
      <c r="F33" s="1"/>
      <c r="G33" s="4">
        <v>0</v>
      </c>
      <c r="H33" s="3"/>
      <c r="I33" s="4">
        <v>0</v>
      </c>
      <c r="J33" s="3"/>
      <c r="K33" s="4">
        <v>0</v>
      </c>
      <c r="L33" s="3"/>
      <c r="M33" s="4">
        <v>0</v>
      </c>
      <c r="N33" s="3"/>
      <c r="O33" s="4">
        <v>0</v>
      </c>
      <c r="P33" s="3"/>
      <c r="Q33" s="4">
        <v>0</v>
      </c>
      <c r="R33" s="3"/>
      <c r="S33" s="4">
        <v>0</v>
      </c>
      <c r="T33" s="3"/>
      <c r="U33" s="4">
        <v>0</v>
      </c>
      <c r="V33" s="3"/>
      <c r="W33" s="4">
        <v>0</v>
      </c>
      <c r="X33" s="3"/>
      <c r="Y33" s="4">
        <v>0</v>
      </c>
      <c r="Z33" s="3"/>
      <c r="AA33" s="4">
        <v>0</v>
      </c>
      <c r="AB33" s="3"/>
      <c r="AC33" s="4">
        <v>28144.07</v>
      </c>
      <c r="AD33" s="3"/>
      <c r="AE33" s="4">
        <f t="shared" si="2"/>
        <v>28144.07</v>
      </c>
    </row>
    <row r="34" spans="1:31" x14ac:dyDescent="0.25">
      <c r="A34" s="1"/>
      <c r="B34" s="1"/>
      <c r="C34" s="1" t="s">
        <v>44</v>
      </c>
      <c r="D34" s="1"/>
      <c r="E34" s="1"/>
      <c r="F34" s="1"/>
      <c r="G34" s="2">
        <f>ROUND(SUM(G30:G33),5)</f>
        <v>0</v>
      </c>
      <c r="H34" s="3"/>
      <c r="I34" s="2">
        <f>ROUND(SUM(I30:I33),5)</f>
        <v>0</v>
      </c>
      <c r="J34" s="3"/>
      <c r="K34" s="2">
        <f>ROUND(SUM(K30:K33),5)</f>
        <v>0</v>
      </c>
      <c r="L34" s="3"/>
      <c r="M34" s="2">
        <f>ROUND(SUM(M30:M33),5)</f>
        <v>0</v>
      </c>
      <c r="N34" s="3"/>
      <c r="O34" s="2">
        <f>ROUND(SUM(O30:O33),5)</f>
        <v>0</v>
      </c>
      <c r="P34" s="3"/>
      <c r="Q34" s="2">
        <f>ROUND(SUM(Q30:Q33),5)</f>
        <v>-8481.94</v>
      </c>
      <c r="R34" s="3"/>
      <c r="S34" s="2">
        <f>ROUND(SUM(S30:S33),5)</f>
        <v>0</v>
      </c>
      <c r="T34" s="3"/>
      <c r="U34" s="2">
        <f>ROUND(SUM(U30:U33),5)</f>
        <v>0</v>
      </c>
      <c r="V34" s="3"/>
      <c r="W34" s="2">
        <f>ROUND(SUM(W30:W33),5)</f>
        <v>0</v>
      </c>
      <c r="X34" s="3"/>
      <c r="Y34" s="2">
        <f>ROUND(SUM(Y30:Y33),5)</f>
        <v>0</v>
      </c>
      <c r="Z34" s="3"/>
      <c r="AA34" s="2">
        <f>ROUND(SUM(AA30:AA33),5)</f>
        <v>0</v>
      </c>
      <c r="AB34" s="3"/>
      <c r="AC34" s="2">
        <f>ROUND(SUM(AC30:AC33),5)</f>
        <v>77485.8</v>
      </c>
      <c r="AD34" s="3"/>
      <c r="AE34" s="2">
        <f t="shared" si="2"/>
        <v>69003.86</v>
      </c>
    </row>
    <row r="35" spans="1:31" ht="15.75" thickBot="1" x14ac:dyDescent="0.3">
      <c r="A35" s="1"/>
      <c r="B35" s="1"/>
      <c r="C35" s="1" t="s">
        <v>45</v>
      </c>
      <c r="D35" s="1"/>
      <c r="E35" s="1"/>
      <c r="F35" s="1"/>
      <c r="G35" s="4">
        <v>0</v>
      </c>
      <c r="H35" s="3"/>
      <c r="I35" s="4">
        <v>0</v>
      </c>
      <c r="J35" s="3"/>
      <c r="K35" s="4">
        <v>0</v>
      </c>
      <c r="L35" s="3"/>
      <c r="M35" s="4">
        <v>0</v>
      </c>
      <c r="N35" s="3"/>
      <c r="O35" s="4">
        <v>0</v>
      </c>
      <c r="P35" s="3"/>
      <c r="Q35" s="4">
        <v>0</v>
      </c>
      <c r="R35" s="3"/>
      <c r="S35" s="4">
        <v>0</v>
      </c>
      <c r="T35" s="3"/>
      <c r="U35" s="4">
        <v>0</v>
      </c>
      <c r="V35" s="3"/>
      <c r="W35" s="4">
        <v>0</v>
      </c>
      <c r="X35" s="3"/>
      <c r="Y35" s="4">
        <v>0</v>
      </c>
      <c r="Z35" s="3"/>
      <c r="AA35" s="4">
        <v>0</v>
      </c>
      <c r="AB35" s="3"/>
      <c r="AC35" s="4">
        <v>46586.18</v>
      </c>
      <c r="AD35" s="3"/>
      <c r="AE35" s="4">
        <f t="shared" si="2"/>
        <v>46586.18</v>
      </c>
    </row>
    <row r="36" spans="1:31" x14ac:dyDescent="0.25">
      <c r="A36" s="1"/>
      <c r="B36" s="1" t="s">
        <v>46</v>
      </c>
      <c r="C36" s="1"/>
      <c r="D36" s="1"/>
      <c r="E36" s="1"/>
      <c r="F36" s="1"/>
      <c r="G36" s="2">
        <f>ROUND(SUM(G25:G29)+SUM(G34:G35),5)</f>
        <v>0</v>
      </c>
      <c r="H36" s="3"/>
      <c r="I36" s="2">
        <f>ROUND(SUM(I25:I29)+SUM(I34:I35),5)</f>
        <v>25884.29</v>
      </c>
      <c r="J36" s="3"/>
      <c r="K36" s="2">
        <f>ROUND(SUM(K25:K29)+SUM(K34:K35),5)</f>
        <v>0</v>
      </c>
      <c r="L36" s="3"/>
      <c r="M36" s="2">
        <f>ROUND(SUM(M25:M29)+SUM(M34:M35),5)</f>
        <v>0</v>
      </c>
      <c r="N36" s="3"/>
      <c r="O36" s="2">
        <f>ROUND(SUM(O25:O29)+SUM(O34:O35),5)</f>
        <v>0</v>
      </c>
      <c r="P36" s="3"/>
      <c r="Q36" s="2">
        <f>ROUND(SUM(Q25:Q29)+SUM(Q34:Q35),5)</f>
        <v>30198.54</v>
      </c>
      <c r="R36" s="3"/>
      <c r="S36" s="2">
        <f>ROUND(SUM(S25:S29)+SUM(S34:S35),5)</f>
        <v>0</v>
      </c>
      <c r="T36" s="3"/>
      <c r="U36" s="2">
        <f>ROUND(SUM(U25:U29)+SUM(U34:U35),5)</f>
        <v>3367</v>
      </c>
      <c r="V36" s="3"/>
      <c r="W36" s="2">
        <f>ROUND(SUM(W25:W29)+SUM(W34:W35),5)</f>
        <v>2827832.81</v>
      </c>
      <c r="X36" s="3"/>
      <c r="Y36" s="2">
        <f>ROUND(SUM(Y25:Y29)+SUM(Y34:Y35),5)</f>
        <v>19811.97</v>
      </c>
      <c r="Z36" s="3"/>
      <c r="AA36" s="2">
        <f>ROUND(SUM(AA25:AA29)+SUM(AA34:AA35),5)</f>
        <v>0</v>
      </c>
      <c r="AB36" s="3"/>
      <c r="AC36" s="2">
        <f>ROUND(SUM(AC25:AC29)+SUM(AC34:AC35),5)</f>
        <v>-59991.75</v>
      </c>
      <c r="AD36" s="3"/>
      <c r="AE36" s="2">
        <f t="shared" si="2"/>
        <v>2847102.86</v>
      </c>
    </row>
    <row r="37" spans="1:31" x14ac:dyDescent="0.25">
      <c r="A37" s="1"/>
      <c r="B37" s="1" t="s">
        <v>47</v>
      </c>
      <c r="C37" s="1"/>
      <c r="D37" s="1"/>
      <c r="E37" s="1"/>
      <c r="F37" s="1"/>
      <c r="G37" s="2"/>
      <c r="H37" s="3"/>
      <c r="I37" s="2"/>
      <c r="J37" s="3"/>
      <c r="K37" s="2"/>
      <c r="L37" s="3"/>
      <c r="M37" s="2"/>
      <c r="N37" s="3"/>
      <c r="O37" s="2"/>
      <c r="P37" s="3"/>
      <c r="Q37" s="2"/>
      <c r="R37" s="3"/>
      <c r="S37" s="2"/>
      <c r="T37" s="3"/>
      <c r="U37" s="2"/>
      <c r="V37" s="3"/>
      <c r="W37" s="2"/>
      <c r="X37" s="3"/>
      <c r="Y37" s="2"/>
      <c r="Z37" s="3"/>
      <c r="AA37" s="2"/>
      <c r="AB37" s="3"/>
      <c r="AC37" s="2"/>
      <c r="AD37" s="3"/>
      <c r="AE37" s="2"/>
    </row>
    <row r="38" spans="1:31" x14ac:dyDescent="0.25">
      <c r="A38" s="1"/>
      <c r="B38" s="1"/>
      <c r="C38" s="1" t="s">
        <v>48</v>
      </c>
      <c r="D38" s="1"/>
      <c r="E38" s="1"/>
      <c r="F38" s="1"/>
      <c r="G38" s="2">
        <v>0</v>
      </c>
      <c r="H38" s="3"/>
      <c r="I38" s="2">
        <v>108.11</v>
      </c>
      <c r="J38" s="3"/>
      <c r="K38" s="2">
        <v>0</v>
      </c>
      <c r="L38" s="3"/>
      <c r="M38" s="2">
        <v>0</v>
      </c>
      <c r="N38" s="3"/>
      <c r="O38" s="2">
        <v>6671.98</v>
      </c>
      <c r="P38" s="3"/>
      <c r="Q38" s="2">
        <v>881.68</v>
      </c>
      <c r="R38" s="3"/>
      <c r="S38" s="2">
        <v>0</v>
      </c>
      <c r="T38" s="3"/>
      <c r="U38" s="2">
        <v>8022.89</v>
      </c>
      <c r="V38" s="3"/>
      <c r="W38" s="2">
        <v>256209.73</v>
      </c>
      <c r="X38" s="3"/>
      <c r="Y38" s="2">
        <v>7410.43</v>
      </c>
      <c r="Z38" s="3"/>
      <c r="AA38" s="2">
        <v>0</v>
      </c>
      <c r="AB38" s="3"/>
      <c r="AC38" s="2">
        <v>32668.11</v>
      </c>
      <c r="AD38" s="3"/>
      <c r="AE38" s="2">
        <f>ROUND(SUM(G38:AC38),5)</f>
        <v>311972.93</v>
      </c>
    </row>
    <row r="39" spans="1:31" x14ac:dyDescent="0.25">
      <c r="A39" s="1"/>
      <c r="B39" s="1"/>
      <c r="C39" s="1" t="s">
        <v>49</v>
      </c>
      <c r="D39" s="1"/>
      <c r="E39" s="1"/>
      <c r="F39" s="1"/>
      <c r="G39" s="2">
        <v>0</v>
      </c>
      <c r="H39" s="3"/>
      <c r="I39" s="2">
        <v>0</v>
      </c>
      <c r="J39" s="3"/>
      <c r="K39" s="2">
        <v>0</v>
      </c>
      <c r="L39" s="3"/>
      <c r="M39" s="2">
        <v>0</v>
      </c>
      <c r="N39" s="3"/>
      <c r="O39" s="2">
        <v>0</v>
      </c>
      <c r="P39" s="3"/>
      <c r="Q39" s="2">
        <v>0</v>
      </c>
      <c r="R39" s="3"/>
      <c r="S39" s="2">
        <v>0</v>
      </c>
      <c r="T39" s="3"/>
      <c r="U39" s="2">
        <v>0</v>
      </c>
      <c r="V39" s="3"/>
      <c r="W39" s="2">
        <v>0</v>
      </c>
      <c r="X39" s="3"/>
      <c r="Y39" s="2">
        <v>0</v>
      </c>
      <c r="Z39" s="3"/>
      <c r="AA39" s="2">
        <v>0</v>
      </c>
      <c r="AB39" s="3"/>
      <c r="AC39" s="2">
        <v>2885.46</v>
      </c>
      <c r="AD39" s="3"/>
      <c r="AE39" s="2">
        <f>ROUND(SUM(G39:AC39),5)</f>
        <v>2885.46</v>
      </c>
    </row>
    <row r="40" spans="1:31" ht="15.75" thickBot="1" x14ac:dyDescent="0.3">
      <c r="A40" s="1"/>
      <c r="B40" s="1"/>
      <c r="C40" s="1" t="s">
        <v>50</v>
      </c>
      <c r="D40" s="1"/>
      <c r="E40" s="1"/>
      <c r="F40" s="1"/>
      <c r="G40" s="2">
        <v>0</v>
      </c>
      <c r="H40" s="3"/>
      <c r="I40" s="2">
        <v>5651.25</v>
      </c>
      <c r="J40" s="3"/>
      <c r="K40" s="2">
        <v>0</v>
      </c>
      <c r="L40" s="3"/>
      <c r="M40" s="2">
        <v>0</v>
      </c>
      <c r="N40" s="3"/>
      <c r="O40" s="2">
        <v>0</v>
      </c>
      <c r="P40" s="3"/>
      <c r="Q40" s="2">
        <v>4738</v>
      </c>
      <c r="R40" s="3"/>
      <c r="S40" s="2">
        <v>0</v>
      </c>
      <c r="T40" s="3"/>
      <c r="U40" s="2">
        <v>0</v>
      </c>
      <c r="V40" s="3"/>
      <c r="W40" s="2">
        <v>0</v>
      </c>
      <c r="X40" s="3"/>
      <c r="Y40" s="2">
        <v>4151.25</v>
      </c>
      <c r="Z40" s="3"/>
      <c r="AA40" s="2">
        <v>0</v>
      </c>
      <c r="AB40" s="3"/>
      <c r="AC40" s="2">
        <v>0</v>
      </c>
      <c r="AD40" s="3"/>
      <c r="AE40" s="2">
        <f>ROUND(SUM(G40:AC40),5)</f>
        <v>14540.5</v>
      </c>
    </row>
    <row r="41" spans="1:31" ht="15.75" thickBot="1" x14ac:dyDescent="0.3">
      <c r="A41" s="1"/>
      <c r="B41" s="1" t="s">
        <v>51</v>
      </c>
      <c r="C41" s="1"/>
      <c r="D41" s="1"/>
      <c r="E41" s="1"/>
      <c r="F41" s="1"/>
      <c r="G41" s="6">
        <f>ROUND(SUM(G37:G40),5)</f>
        <v>0</v>
      </c>
      <c r="H41" s="3"/>
      <c r="I41" s="6">
        <f>ROUND(SUM(I37:I40),5)</f>
        <v>5759.36</v>
      </c>
      <c r="J41" s="3"/>
      <c r="K41" s="6">
        <f>ROUND(SUM(K37:K40),5)</f>
        <v>0</v>
      </c>
      <c r="L41" s="3"/>
      <c r="M41" s="6">
        <f>ROUND(SUM(M37:M40),5)</f>
        <v>0</v>
      </c>
      <c r="N41" s="3"/>
      <c r="O41" s="6">
        <f>ROUND(SUM(O37:O40),5)</f>
        <v>6671.98</v>
      </c>
      <c r="P41" s="3"/>
      <c r="Q41" s="6">
        <f>ROUND(SUM(Q37:Q40),5)</f>
        <v>5619.68</v>
      </c>
      <c r="R41" s="3"/>
      <c r="S41" s="6">
        <f>ROUND(SUM(S37:S40),5)</f>
        <v>0</v>
      </c>
      <c r="T41" s="3"/>
      <c r="U41" s="6">
        <f>ROUND(SUM(U37:U40),5)</f>
        <v>8022.89</v>
      </c>
      <c r="V41" s="3"/>
      <c r="W41" s="6">
        <f>ROUND(SUM(W37:W40),5)</f>
        <v>256209.73</v>
      </c>
      <c r="X41" s="3"/>
      <c r="Y41" s="6">
        <f>ROUND(SUM(Y37:Y40),5)</f>
        <v>11561.68</v>
      </c>
      <c r="Z41" s="3"/>
      <c r="AA41" s="6">
        <f>ROUND(SUM(AA37:AA40),5)</f>
        <v>0</v>
      </c>
      <c r="AB41" s="3"/>
      <c r="AC41" s="6">
        <f>ROUND(SUM(AC37:AC40),5)</f>
        <v>35553.57</v>
      </c>
      <c r="AD41" s="3"/>
      <c r="AE41" s="6">
        <f>ROUND(SUM(G41:AC41),5)</f>
        <v>329398.89</v>
      </c>
    </row>
    <row r="42" spans="1:31" s="8" customFormat="1" ht="12" thickBot="1" x14ac:dyDescent="0.25">
      <c r="A42" s="1" t="s">
        <v>52</v>
      </c>
      <c r="B42" s="1"/>
      <c r="C42" s="1"/>
      <c r="D42" s="1"/>
      <c r="E42" s="1"/>
      <c r="F42" s="1"/>
      <c r="G42" s="7">
        <f>ROUND(G2+G24+G36+G41,5)</f>
        <v>308878.15000000002</v>
      </c>
      <c r="H42" s="1"/>
      <c r="I42" s="7">
        <f>ROUND(I2+I24+I36+I41,5)</f>
        <v>9524932.7100000009</v>
      </c>
      <c r="J42" s="1"/>
      <c r="K42" s="7">
        <f>ROUND(K2+K24+K36+K41,5)</f>
        <v>-19570.78</v>
      </c>
      <c r="L42" s="1"/>
      <c r="M42" s="7">
        <f>ROUND(M2+M24+M36+M41,5)</f>
        <v>0</v>
      </c>
      <c r="N42" s="1"/>
      <c r="O42" s="7">
        <f>ROUND(O2+O24+O36+O41,5)</f>
        <v>5771.98</v>
      </c>
      <c r="P42" s="1"/>
      <c r="Q42" s="7">
        <f>ROUND(Q2+Q24+Q36+Q41,5)</f>
        <v>-7621129.1500000004</v>
      </c>
      <c r="R42" s="1"/>
      <c r="S42" s="7">
        <f>ROUND(S2+S24+S36+S41,5)</f>
        <v>1271154.25</v>
      </c>
      <c r="T42" s="1"/>
      <c r="U42" s="7">
        <f>ROUND(U2+U24+U36+U41,5)</f>
        <v>-17838.5</v>
      </c>
      <c r="V42" s="1"/>
      <c r="W42" s="7">
        <f>ROUND(W2+W24+W36+W41,5)</f>
        <v>2807317.86</v>
      </c>
      <c r="X42" s="1"/>
      <c r="Y42" s="7">
        <f>ROUND(Y2+Y24+Y36+Y41,5)</f>
        <v>8121543.7999999998</v>
      </c>
      <c r="Z42" s="1"/>
      <c r="AA42" s="7">
        <f>ROUND(AA2+AA24+AA36+AA41,5)</f>
        <v>133.76</v>
      </c>
      <c r="AB42" s="1"/>
      <c r="AC42" s="7">
        <f>ROUND(AC2+AC24+AC36+AC41,5)</f>
        <v>-6763734.54</v>
      </c>
      <c r="AD42" s="1"/>
      <c r="AE42" s="7">
        <f>ROUND(SUM(G42:AC42),5)</f>
        <v>7617459.54</v>
      </c>
    </row>
    <row r="43" spans="1:31" ht="15.75" thickTop="1" x14ac:dyDescent="0.25">
      <c r="A43" s="1" t="s">
        <v>53</v>
      </c>
      <c r="B43" s="1"/>
      <c r="C43" s="1"/>
      <c r="D43" s="1"/>
      <c r="E43" s="1"/>
      <c r="F43" s="1"/>
      <c r="G43" s="2"/>
      <c r="H43" s="3"/>
      <c r="I43" s="2"/>
      <c r="J43" s="3"/>
      <c r="K43" s="2"/>
      <c r="L43" s="3"/>
      <c r="M43" s="2"/>
      <c r="N43" s="3"/>
      <c r="O43" s="2"/>
      <c r="P43" s="3"/>
      <c r="Q43" s="2"/>
      <c r="R43" s="3"/>
      <c r="S43" s="2"/>
      <c r="T43" s="3"/>
      <c r="U43" s="2"/>
      <c r="V43" s="3"/>
      <c r="W43" s="2"/>
      <c r="X43" s="3"/>
      <c r="Y43" s="2"/>
      <c r="Z43" s="3"/>
      <c r="AA43" s="2"/>
      <c r="AB43" s="3"/>
      <c r="AC43" s="2"/>
      <c r="AD43" s="3"/>
      <c r="AE43" s="2"/>
    </row>
    <row r="44" spans="1:31" x14ac:dyDescent="0.25">
      <c r="A44" s="1"/>
      <c r="B44" s="1" t="s">
        <v>54</v>
      </c>
      <c r="C44" s="1"/>
      <c r="D44" s="1"/>
      <c r="E44" s="1"/>
      <c r="F44" s="1"/>
      <c r="G44" s="2"/>
      <c r="H44" s="3"/>
      <c r="I44" s="2"/>
      <c r="J44" s="3"/>
      <c r="K44" s="2"/>
      <c r="L44" s="3"/>
      <c r="M44" s="2"/>
      <c r="N44" s="3"/>
      <c r="O44" s="2"/>
      <c r="P44" s="3"/>
      <c r="Q44" s="2"/>
      <c r="R44" s="3"/>
      <c r="S44" s="2"/>
      <c r="T44" s="3"/>
      <c r="U44" s="2"/>
      <c r="V44" s="3"/>
      <c r="W44" s="2"/>
      <c r="X44" s="3"/>
      <c r="Y44" s="2"/>
      <c r="Z44" s="3"/>
      <c r="AA44" s="2"/>
      <c r="AB44" s="3"/>
      <c r="AC44" s="2"/>
      <c r="AD44" s="3"/>
      <c r="AE44" s="2"/>
    </row>
    <row r="45" spans="1:31" x14ac:dyDescent="0.25">
      <c r="A45" s="1"/>
      <c r="B45" s="1"/>
      <c r="C45" s="1" t="s">
        <v>55</v>
      </c>
      <c r="D45" s="1"/>
      <c r="E45" s="1"/>
      <c r="F45" s="1"/>
      <c r="G45" s="2"/>
      <c r="H45" s="3"/>
      <c r="I45" s="2"/>
      <c r="J45" s="3"/>
      <c r="K45" s="2"/>
      <c r="L45" s="3"/>
      <c r="M45" s="2"/>
      <c r="N45" s="3"/>
      <c r="O45" s="2"/>
      <c r="P45" s="3"/>
      <c r="Q45" s="2"/>
      <c r="R45" s="3"/>
      <c r="S45" s="2"/>
      <c r="T45" s="3"/>
      <c r="U45" s="2"/>
      <c r="V45" s="3"/>
      <c r="W45" s="2"/>
      <c r="X45" s="3"/>
      <c r="Y45" s="2"/>
      <c r="Z45" s="3"/>
      <c r="AA45" s="2"/>
      <c r="AB45" s="3"/>
      <c r="AC45" s="2"/>
      <c r="AD45" s="3"/>
      <c r="AE45" s="2"/>
    </row>
    <row r="46" spans="1:31" x14ac:dyDescent="0.25">
      <c r="A46" s="1"/>
      <c r="B46" s="1"/>
      <c r="C46" s="1"/>
      <c r="D46" s="1" t="s">
        <v>56</v>
      </c>
      <c r="E46" s="1"/>
      <c r="F46" s="1"/>
      <c r="G46" s="2"/>
      <c r="H46" s="3"/>
      <c r="I46" s="2"/>
      <c r="J46" s="3"/>
      <c r="K46" s="2"/>
      <c r="L46" s="3"/>
      <c r="M46" s="2"/>
      <c r="N46" s="3"/>
      <c r="O46" s="2"/>
      <c r="P46" s="3"/>
      <c r="Q46" s="2"/>
      <c r="R46" s="3"/>
      <c r="S46" s="2"/>
      <c r="T46" s="3"/>
      <c r="U46" s="2"/>
      <c r="V46" s="3"/>
      <c r="W46" s="2"/>
      <c r="X46" s="3"/>
      <c r="Y46" s="2"/>
      <c r="Z46" s="3"/>
      <c r="AA46" s="2"/>
      <c r="AB46" s="3"/>
      <c r="AC46" s="2"/>
      <c r="AD46" s="3"/>
      <c r="AE46" s="2"/>
    </row>
    <row r="47" spans="1:31" x14ac:dyDescent="0.25">
      <c r="A47" s="1"/>
      <c r="B47" s="1"/>
      <c r="C47" s="1"/>
      <c r="D47" s="1"/>
      <c r="E47" s="1" t="s">
        <v>56</v>
      </c>
      <c r="F47" s="1"/>
      <c r="G47" s="2">
        <v>1028.1400000000001</v>
      </c>
      <c r="H47" s="3"/>
      <c r="I47" s="2">
        <v>398478.71</v>
      </c>
      <c r="J47" s="3"/>
      <c r="K47" s="2">
        <v>186.67</v>
      </c>
      <c r="L47" s="3"/>
      <c r="M47" s="2">
        <v>0</v>
      </c>
      <c r="N47" s="3"/>
      <c r="O47" s="2">
        <v>0</v>
      </c>
      <c r="P47" s="3"/>
      <c r="Q47" s="2">
        <v>-6360.54</v>
      </c>
      <c r="R47" s="3"/>
      <c r="S47" s="2">
        <v>3306.49</v>
      </c>
      <c r="T47" s="3"/>
      <c r="U47" s="2">
        <v>0</v>
      </c>
      <c r="V47" s="3"/>
      <c r="W47" s="2">
        <v>0</v>
      </c>
      <c r="X47" s="3"/>
      <c r="Y47" s="2">
        <v>335497.82</v>
      </c>
      <c r="Z47" s="3"/>
      <c r="AA47" s="2">
        <v>0</v>
      </c>
      <c r="AB47" s="3"/>
      <c r="AC47" s="2">
        <v>-26842.44</v>
      </c>
      <c r="AD47" s="3"/>
      <c r="AE47" s="2">
        <f>ROUND(SUM(G47:AC47),5)</f>
        <v>705294.85</v>
      </c>
    </row>
    <row r="48" spans="1:31" x14ac:dyDescent="0.25">
      <c r="A48" s="1"/>
      <c r="B48" s="1"/>
      <c r="C48" s="1"/>
      <c r="D48" s="1"/>
      <c r="E48" s="1" t="s">
        <v>57</v>
      </c>
      <c r="F48" s="1"/>
      <c r="G48" s="2">
        <v>0</v>
      </c>
      <c r="H48" s="3"/>
      <c r="I48" s="2">
        <v>22268.07</v>
      </c>
      <c r="J48" s="3"/>
      <c r="K48" s="2">
        <v>0</v>
      </c>
      <c r="L48" s="3"/>
      <c r="M48" s="2">
        <v>0</v>
      </c>
      <c r="N48" s="3"/>
      <c r="O48" s="2">
        <v>0</v>
      </c>
      <c r="P48" s="3"/>
      <c r="Q48" s="2">
        <v>-265.93</v>
      </c>
      <c r="R48" s="3"/>
      <c r="S48" s="2">
        <v>-10.51</v>
      </c>
      <c r="T48" s="3"/>
      <c r="U48" s="2">
        <v>0</v>
      </c>
      <c r="V48" s="3"/>
      <c r="W48" s="2">
        <v>0</v>
      </c>
      <c r="X48" s="3"/>
      <c r="Y48" s="2">
        <v>12975.49</v>
      </c>
      <c r="Z48" s="3"/>
      <c r="AA48" s="2">
        <v>0</v>
      </c>
      <c r="AB48" s="3"/>
      <c r="AC48" s="2">
        <v>11.67</v>
      </c>
      <c r="AD48" s="3"/>
      <c r="AE48" s="2">
        <f>ROUND(SUM(G48:AC48),5)</f>
        <v>34978.79</v>
      </c>
    </row>
    <row r="49" spans="1:31" x14ac:dyDescent="0.25">
      <c r="A49" s="1"/>
      <c r="B49" s="1"/>
      <c r="C49" s="1"/>
      <c r="D49" s="1"/>
      <c r="E49" s="1" t="s">
        <v>58</v>
      </c>
      <c r="F49" s="1"/>
      <c r="G49" s="2">
        <v>0</v>
      </c>
      <c r="H49" s="3"/>
      <c r="I49" s="2">
        <v>0</v>
      </c>
      <c r="J49" s="3"/>
      <c r="K49" s="2">
        <v>0</v>
      </c>
      <c r="L49" s="3"/>
      <c r="M49" s="2">
        <v>0</v>
      </c>
      <c r="N49" s="3"/>
      <c r="O49" s="2">
        <v>0</v>
      </c>
      <c r="P49" s="3"/>
      <c r="Q49" s="2">
        <v>0</v>
      </c>
      <c r="R49" s="3"/>
      <c r="S49" s="2">
        <v>823.93</v>
      </c>
      <c r="T49" s="3"/>
      <c r="U49" s="2">
        <v>0</v>
      </c>
      <c r="V49" s="3"/>
      <c r="W49" s="2">
        <v>0</v>
      </c>
      <c r="X49" s="3"/>
      <c r="Y49" s="2">
        <v>-814.45</v>
      </c>
      <c r="Z49" s="3"/>
      <c r="AA49" s="2">
        <v>0</v>
      </c>
      <c r="AB49" s="3"/>
      <c r="AC49" s="2">
        <v>-9.4700000000000006</v>
      </c>
      <c r="AD49" s="3"/>
      <c r="AE49" s="2">
        <f>ROUND(SUM(G49:AC49),5)</f>
        <v>0.01</v>
      </c>
    </row>
    <row r="50" spans="1:31" ht="15.75" thickBot="1" x14ac:dyDescent="0.3">
      <c r="A50" s="1"/>
      <c r="B50" s="1"/>
      <c r="C50" s="1"/>
      <c r="D50" s="1"/>
      <c r="E50" s="1" t="s">
        <v>59</v>
      </c>
      <c r="F50" s="1"/>
      <c r="G50" s="4">
        <v>0</v>
      </c>
      <c r="H50" s="3"/>
      <c r="I50" s="4">
        <v>0</v>
      </c>
      <c r="J50" s="3"/>
      <c r="K50" s="4">
        <v>0</v>
      </c>
      <c r="L50" s="3"/>
      <c r="M50" s="4">
        <v>0</v>
      </c>
      <c r="N50" s="3"/>
      <c r="O50" s="4">
        <v>0</v>
      </c>
      <c r="P50" s="3"/>
      <c r="Q50" s="4">
        <v>0</v>
      </c>
      <c r="R50" s="3"/>
      <c r="S50" s="4">
        <v>0</v>
      </c>
      <c r="T50" s="3"/>
      <c r="U50" s="4">
        <v>0</v>
      </c>
      <c r="V50" s="3"/>
      <c r="W50" s="4">
        <v>0</v>
      </c>
      <c r="X50" s="3"/>
      <c r="Y50" s="4">
        <v>70073.17</v>
      </c>
      <c r="Z50" s="3"/>
      <c r="AA50" s="4">
        <v>0</v>
      </c>
      <c r="AB50" s="3"/>
      <c r="AC50" s="4">
        <v>0</v>
      </c>
      <c r="AD50" s="3"/>
      <c r="AE50" s="4">
        <f>ROUND(SUM(G50:AC50),5)</f>
        <v>70073.17</v>
      </c>
    </row>
    <row r="51" spans="1:31" x14ac:dyDescent="0.25">
      <c r="A51" s="1"/>
      <c r="B51" s="1"/>
      <c r="C51" s="1"/>
      <c r="D51" s="1" t="s">
        <v>60</v>
      </c>
      <c r="E51" s="1"/>
      <c r="F51" s="1"/>
      <c r="G51" s="2">
        <f>ROUND(SUM(G46:G50),5)</f>
        <v>1028.1400000000001</v>
      </c>
      <c r="H51" s="3"/>
      <c r="I51" s="2">
        <f>ROUND(SUM(I46:I50),5)</f>
        <v>420746.78</v>
      </c>
      <c r="J51" s="3"/>
      <c r="K51" s="2">
        <f>ROUND(SUM(K46:K50),5)</f>
        <v>186.67</v>
      </c>
      <c r="L51" s="3"/>
      <c r="M51" s="2">
        <f>ROUND(SUM(M46:M50),5)</f>
        <v>0</v>
      </c>
      <c r="N51" s="3"/>
      <c r="O51" s="2">
        <f>ROUND(SUM(O46:O50),5)</f>
        <v>0</v>
      </c>
      <c r="P51" s="3"/>
      <c r="Q51" s="2">
        <f>ROUND(SUM(Q46:Q50),5)</f>
        <v>-6626.47</v>
      </c>
      <c r="R51" s="3"/>
      <c r="S51" s="2">
        <f>ROUND(SUM(S46:S50),5)</f>
        <v>4119.91</v>
      </c>
      <c r="T51" s="3"/>
      <c r="U51" s="2">
        <f>ROUND(SUM(U46:U50),5)</f>
        <v>0</v>
      </c>
      <c r="V51" s="3"/>
      <c r="W51" s="2">
        <f>ROUND(SUM(W46:W50),5)</f>
        <v>0</v>
      </c>
      <c r="X51" s="3"/>
      <c r="Y51" s="2">
        <f>ROUND(SUM(Y46:Y50),5)</f>
        <v>417732.03</v>
      </c>
      <c r="Z51" s="3"/>
      <c r="AA51" s="2">
        <f>ROUND(SUM(AA46:AA50),5)</f>
        <v>0</v>
      </c>
      <c r="AB51" s="3"/>
      <c r="AC51" s="2">
        <f>ROUND(SUM(AC46:AC50),5)</f>
        <v>-26840.240000000002</v>
      </c>
      <c r="AD51" s="3"/>
      <c r="AE51" s="2">
        <f>ROUND(SUM(G51:AC51),5)</f>
        <v>810346.82</v>
      </c>
    </row>
    <row r="52" spans="1:31" x14ac:dyDescent="0.25">
      <c r="A52" s="1"/>
      <c r="B52" s="1"/>
      <c r="C52" s="1"/>
      <c r="D52" s="1" t="s">
        <v>61</v>
      </c>
      <c r="E52" s="1"/>
      <c r="F52" s="1"/>
      <c r="G52" s="2"/>
      <c r="H52" s="3"/>
      <c r="I52" s="2"/>
      <c r="J52" s="3"/>
      <c r="K52" s="2"/>
      <c r="L52" s="3"/>
      <c r="M52" s="2"/>
      <c r="N52" s="3"/>
      <c r="O52" s="2"/>
      <c r="P52" s="3"/>
      <c r="Q52" s="2"/>
      <c r="R52" s="3"/>
      <c r="S52" s="2"/>
      <c r="T52" s="3"/>
      <c r="U52" s="2"/>
      <c r="V52" s="3"/>
      <c r="W52" s="2"/>
      <c r="X52" s="3"/>
      <c r="Y52" s="2"/>
      <c r="Z52" s="3"/>
      <c r="AA52" s="2"/>
      <c r="AB52" s="3"/>
      <c r="AC52" s="2"/>
      <c r="AD52" s="3"/>
      <c r="AE52" s="2"/>
    </row>
    <row r="53" spans="1:31" x14ac:dyDescent="0.25">
      <c r="A53" s="1"/>
      <c r="B53" s="1"/>
      <c r="C53" s="1"/>
      <c r="D53" s="1"/>
      <c r="E53" s="1" t="s">
        <v>62</v>
      </c>
      <c r="F53" s="1"/>
      <c r="G53" s="2">
        <v>5809.62</v>
      </c>
      <c r="H53" s="3"/>
      <c r="I53" s="2">
        <v>105229.45</v>
      </c>
      <c r="J53" s="3"/>
      <c r="K53" s="2">
        <v>0</v>
      </c>
      <c r="L53" s="3"/>
      <c r="M53" s="2">
        <v>31.1</v>
      </c>
      <c r="N53" s="3"/>
      <c r="O53" s="2">
        <v>0</v>
      </c>
      <c r="P53" s="3"/>
      <c r="Q53" s="2">
        <v>-8441.8700000000008</v>
      </c>
      <c r="R53" s="3"/>
      <c r="S53" s="2">
        <v>4979.7299999999996</v>
      </c>
      <c r="T53" s="3"/>
      <c r="U53" s="2">
        <v>0</v>
      </c>
      <c r="V53" s="3"/>
      <c r="W53" s="2">
        <v>346.37</v>
      </c>
      <c r="X53" s="3"/>
      <c r="Y53" s="2">
        <v>84476.4</v>
      </c>
      <c r="Z53" s="3"/>
      <c r="AA53" s="2">
        <v>0</v>
      </c>
      <c r="AB53" s="3"/>
      <c r="AC53" s="2">
        <v>-174264.53</v>
      </c>
      <c r="AD53" s="3"/>
      <c r="AE53" s="2">
        <f t="shared" ref="AE53:AE61" si="3">ROUND(SUM(G53:AC53),5)</f>
        <v>18166.27</v>
      </c>
    </row>
    <row r="54" spans="1:31" x14ac:dyDescent="0.25">
      <c r="A54" s="1"/>
      <c r="B54" s="1"/>
      <c r="C54" s="1"/>
      <c r="D54" s="1"/>
      <c r="E54" s="1" t="s">
        <v>63</v>
      </c>
      <c r="F54" s="1"/>
      <c r="G54" s="2">
        <v>0</v>
      </c>
      <c r="H54" s="3"/>
      <c r="I54" s="2">
        <v>19722.47</v>
      </c>
      <c r="J54" s="3"/>
      <c r="K54" s="2">
        <v>0</v>
      </c>
      <c r="L54" s="3"/>
      <c r="M54" s="2">
        <v>0</v>
      </c>
      <c r="N54" s="3"/>
      <c r="O54" s="2">
        <v>0</v>
      </c>
      <c r="P54" s="3"/>
      <c r="Q54" s="2">
        <v>-28.18</v>
      </c>
      <c r="R54" s="3"/>
      <c r="S54" s="2">
        <v>626.04</v>
      </c>
      <c r="T54" s="3"/>
      <c r="U54" s="2">
        <v>0</v>
      </c>
      <c r="V54" s="3"/>
      <c r="W54" s="2">
        <v>0</v>
      </c>
      <c r="X54" s="3"/>
      <c r="Y54" s="2">
        <v>25117.15</v>
      </c>
      <c r="Z54" s="3"/>
      <c r="AA54" s="2">
        <v>0</v>
      </c>
      <c r="AB54" s="3"/>
      <c r="AC54" s="2">
        <v>-45498.59</v>
      </c>
      <c r="AD54" s="3"/>
      <c r="AE54" s="2">
        <f t="shared" si="3"/>
        <v>-61.11</v>
      </c>
    </row>
    <row r="55" spans="1:31" x14ac:dyDescent="0.25">
      <c r="A55" s="1"/>
      <c r="B55" s="1"/>
      <c r="C55" s="1"/>
      <c r="D55" s="1"/>
      <c r="E55" s="1" t="s">
        <v>64</v>
      </c>
      <c r="F55" s="1"/>
      <c r="G55" s="2">
        <v>0</v>
      </c>
      <c r="H55" s="3"/>
      <c r="I55" s="2">
        <v>9195.66</v>
      </c>
      <c r="J55" s="3"/>
      <c r="K55" s="2">
        <v>0</v>
      </c>
      <c r="L55" s="3"/>
      <c r="M55" s="2">
        <v>0</v>
      </c>
      <c r="N55" s="3"/>
      <c r="O55" s="2">
        <v>0</v>
      </c>
      <c r="P55" s="3"/>
      <c r="Q55" s="2">
        <v>1552.94</v>
      </c>
      <c r="R55" s="3"/>
      <c r="S55" s="2">
        <v>302.14999999999998</v>
      </c>
      <c r="T55" s="3"/>
      <c r="U55" s="2">
        <v>38</v>
      </c>
      <c r="V55" s="3"/>
      <c r="W55" s="2">
        <v>0</v>
      </c>
      <c r="X55" s="3"/>
      <c r="Y55" s="2">
        <v>5141.17</v>
      </c>
      <c r="Z55" s="3"/>
      <c r="AA55" s="2">
        <v>0</v>
      </c>
      <c r="AB55" s="3"/>
      <c r="AC55" s="2">
        <v>-16229.92</v>
      </c>
      <c r="AD55" s="3"/>
      <c r="AE55" s="2">
        <f t="shared" si="3"/>
        <v>0</v>
      </c>
    </row>
    <row r="56" spans="1:31" x14ac:dyDescent="0.25">
      <c r="A56" s="1"/>
      <c r="B56" s="1"/>
      <c r="C56" s="1"/>
      <c r="D56" s="1"/>
      <c r="E56" s="1" t="s">
        <v>65</v>
      </c>
      <c r="F56" s="1"/>
      <c r="G56" s="2">
        <v>0</v>
      </c>
      <c r="H56" s="3"/>
      <c r="I56" s="2">
        <v>0</v>
      </c>
      <c r="J56" s="3"/>
      <c r="K56" s="2">
        <v>0</v>
      </c>
      <c r="L56" s="3"/>
      <c r="M56" s="2">
        <v>0</v>
      </c>
      <c r="N56" s="3"/>
      <c r="O56" s="2">
        <v>0</v>
      </c>
      <c r="P56" s="3"/>
      <c r="Q56" s="2">
        <v>0</v>
      </c>
      <c r="R56" s="3"/>
      <c r="S56" s="2">
        <v>16587.64</v>
      </c>
      <c r="T56" s="3"/>
      <c r="U56" s="2">
        <v>0</v>
      </c>
      <c r="V56" s="3"/>
      <c r="W56" s="2">
        <v>0</v>
      </c>
      <c r="X56" s="3"/>
      <c r="Y56" s="2">
        <v>28.43</v>
      </c>
      <c r="Z56" s="3"/>
      <c r="AA56" s="2">
        <v>0</v>
      </c>
      <c r="AB56" s="3"/>
      <c r="AC56" s="2">
        <v>-16616.07</v>
      </c>
      <c r="AD56" s="3"/>
      <c r="AE56" s="2">
        <f t="shared" si="3"/>
        <v>0</v>
      </c>
    </row>
    <row r="57" spans="1:31" x14ac:dyDescent="0.25">
      <c r="A57" s="1"/>
      <c r="B57" s="1"/>
      <c r="C57" s="1"/>
      <c r="D57" s="1"/>
      <c r="E57" s="1" t="s">
        <v>66</v>
      </c>
      <c r="F57" s="1"/>
      <c r="G57" s="2">
        <v>0</v>
      </c>
      <c r="H57" s="3"/>
      <c r="I57" s="2">
        <v>3860.99</v>
      </c>
      <c r="J57" s="3"/>
      <c r="K57" s="2">
        <v>0</v>
      </c>
      <c r="L57" s="3"/>
      <c r="M57" s="2">
        <v>0</v>
      </c>
      <c r="N57" s="3"/>
      <c r="O57" s="2">
        <v>0</v>
      </c>
      <c r="P57" s="3"/>
      <c r="Q57" s="2">
        <v>0</v>
      </c>
      <c r="R57" s="3"/>
      <c r="S57" s="2">
        <v>0</v>
      </c>
      <c r="T57" s="3"/>
      <c r="U57" s="2">
        <v>0</v>
      </c>
      <c r="V57" s="3"/>
      <c r="W57" s="2">
        <v>0</v>
      </c>
      <c r="X57" s="3"/>
      <c r="Y57" s="2">
        <v>1734.43</v>
      </c>
      <c r="Z57" s="3"/>
      <c r="AA57" s="2">
        <v>0</v>
      </c>
      <c r="AB57" s="3"/>
      <c r="AC57" s="2">
        <v>-5595.42</v>
      </c>
      <c r="AD57" s="3"/>
      <c r="AE57" s="2">
        <f t="shared" si="3"/>
        <v>0</v>
      </c>
    </row>
    <row r="58" spans="1:31" x14ac:dyDescent="0.25">
      <c r="A58" s="1"/>
      <c r="B58" s="1"/>
      <c r="C58" s="1"/>
      <c r="D58" s="1"/>
      <c r="E58" s="1" t="s">
        <v>67</v>
      </c>
      <c r="F58" s="1"/>
      <c r="G58" s="2">
        <v>159.43</v>
      </c>
      <c r="H58" s="3"/>
      <c r="I58" s="2">
        <v>133297.34</v>
      </c>
      <c r="J58" s="3"/>
      <c r="K58" s="2">
        <v>0</v>
      </c>
      <c r="L58" s="3"/>
      <c r="M58" s="2">
        <v>0</v>
      </c>
      <c r="N58" s="3"/>
      <c r="O58" s="2">
        <v>0</v>
      </c>
      <c r="P58" s="3"/>
      <c r="Q58" s="2">
        <v>-62246.71</v>
      </c>
      <c r="R58" s="3"/>
      <c r="S58" s="2">
        <v>870.44</v>
      </c>
      <c r="T58" s="3"/>
      <c r="U58" s="2">
        <v>0</v>
      </c>
      <c r="V58" s="3"/>
      <c r="W58" s="2">
        <v>18111.009999999998</v>
      </c>
      <c r="X58" s="3"/>
      <c r="Y58" s="2">
        <v>40444.76</v>
      </c>
      <c r="Z58" s="3"/>
      <c r="AA58" s="2">
        <v>0</v>
      </c>
      <c r="AB58" s="3"/>
      <c r="AC58" s="2">
        <v>-120471.45</v>
      </c>
      <c r="AD58" s="3"/>
      <c r="AE58" s="2">
        <f t="shared" si="3"/>
        <v>10164.82</v>
      </c>
    </row>
    <row r="59" spans="1:31" x14ac:dyDescent="0.25">
      <c r="A59" s="1"/>
      <c r="B59" s="1"/>
      <c r="C59" s="1"/>
      <c r="D59" s="1"/>
      <c r="E59" s="1" t="s">
        <v>68</v>
      </c>
      <c r="F59" s="1"/>
      <c r="G59" s="2">
        <v>0</v>
      </c>
      <c r="H59" s="3"/>
      <c r="I59" s="2">
        <v>3763.92</v>
      </c>
      <c r="J59" s="3"/>
      <c r="K59" s="2">
        <v>0</v>
      </c>
      <c r="L59" s="3"/>
      <c r="M59" s="2">
        <v>0</v>
      </c>
      <c r="N59" s="3"/>
      <c r="O59" s="2">
        <v>0</v>
      </c>
      <c r="P59" s="3"/>
      <c r="Q59" s="2">
        <v>-105.94</v>
      </c>
      <c r="R59" s="3"/>
      <c r="S59" s="2">
        <v>179</v>
      </c>
      <c r="T59" s="3"/>
      <c r="U59" s="2">
        <v>105.28</v>
      </c>
      <c r="V59" s="3"/>
      <c r="W59" s="2">
        <v>0</v>
      </c>
      <c r="X59" s="3"/>
      <c r="Y59" s="2">
        <v>5218.4399999999996</v>
      </c>
      <c r="Z59" s="3"/>
      <c r="AA59" s="2">
        <v>0</v>
      </c>
      <c r="AB59" s="3"/>
      <c r="AC59" s="2">
        <v>-9160.7000000000007</v>
      </c>
      <c r="AD59" s="3"/>
      <c r="AE59" s="2">
        <f t="shared" si="3"/>
        <v>0</v>
      </c>
    </row>
    <row r="60" spans="1:31" ht="15.75" thickBot="1" x14ac:dyDescent="0.3">
      <c r="A60" s="1"/>
      <c r="B60" s="1"/>
      <c r="C60" s="1"/>
      <c r="D60" s="1"/>
      <c r="E60" s="1" t="s">
        <v>69</v>
      </c>
      <c r="F60" s="1"/>
      <c r="G60" s="4">
        <v>12613.6</v>
      </c>
      <c r="H60" s="3"/>
      <c r="I60" s="4">
        <v>1747237.16</v>
      </c>
      <c r="J60" s="3"/>
      <c r="K60" s="4">
        <v>3188.71</v>
      </c>
      <c r="L60" s="3"/>
      <c r="M60" s="4">
        <v>316.36</v>
      </c>
      <c r="N60" s="3"/>
      <c r="O60" s="4">
        <v>7295.68</v>
      </c>
      <c r="P60" s="3"/>
      <c r="Q60" s="4">
        <v>-49151.92</v>
      </c>
      <c r="R60" s="3"/>
      <c r="S60" s="4">
        <v>112861.62</v>
      </c>
      <c r="T60" s="3"/>
      <c r="U60" s="4">
        <v>11848.66</v>
      </c>
      <c r="V60" s="3"/>
      <c r="W60" s="4">
        <v>3692.3</v>
      </c>
      <c r="X60" s="3"/>
      <c r="Y60" s="4">
        <v>1502482.97</v>
      </c>
      <c r="Z60" s="3"/>
      <c r="AA60" s="4">
        <v>0</v>
      </c>
      <c r="AB60" s="3"/>
      <c r="AC60" s="4">
        <v>-3474882.04</v>
      </c>
      <c r="AD60" s="3"/>
      <c r="AE60" s="4">
        <f t="shared" si="3"/>
        <v>-122496.9</v>
      </c>
    </row>
    <row r="61" spans="1:31" x14ac:dyDescent="0.25">
      <c r="A61" s="1"/>
      <c r="B61" s="1"/>
      <c r="C61" s="1"/>
      <c r="D61" s="1" t="s">
        <v>70</v>
      </c>
      <c r="E61" s="1"/>
      <c r="F61" s="1"/>
      <c r="G61" s="2">
        <f>ROUND(SUM(G52:G60),5)</f>
        <v>18582.650000000001</v>
      </c>
      <c r="H61" s="3"/>
      <c r="I61" s="2">
        <f>ROUND(SUM(I52:I60),5)</f>
        <v>2022306.99</v>
      </c>
      <c r="J61" s="3"/>
      <c r="K61" s="2">
        <f>ROUND(SUM(K52:K60),5)</f>
        <v>3188.71</v>
      </c>
      <c r="L61" s="3"/>
      <c r="M61" s="2">
        <f>ROUND(SUM(M52:M60),5)</f>
        <v>347.46</v>
      </c>
      <c r="N61" s="3"/>
      <c r="O61" s="2">
        <f>ROUND(SUM(O52:O60),5)</f>
        <v>7295.68</v>
      </c>
      <c r="P61" s="3"/>
      <c r="Q61" s="2">
        <f>ROUND(SUM(Q52:Q60),5)</f>
        <v>-118421.68</v>
      </c>
      <c r="R61" s="3"/>
      <c r="S61" s="2">
        <f>ROUND(SUM(S52:S60),5)</f>
        <v>136406.62</v>
      </c>
      <c r="T61" s="3"/>
      <c r="U61" s="2">
        <f>ROUND(SUM(U52:U60),5)</f>
        <v>11991.94</v>
      </c>
      <c r="V61" s="3"/>
      <c r="W61" s="2">
        <f>ROUND(SUM(W52:W60),5)</f>
        <v>22149.68</v>
      </c>
      <c r="X61" s="3"/>
      <c r="Y61" s="2">
        <f>ROUND(SUM(Y52:Y60),5)</f>
        <v>1664643.75</v>
      </c>
      <c r="Z61" s="3"/>
      <c r="AA61" s="2">
        <f>ROUND(SUM(AA52:AA60),5)</f>
        <v>0</v>
      </c>
      <c r="AB61" s="3"/>
      <c r="AC61" s="2">
        <f>ROUND(SUM(AC52:AC60),5)</f>
        <v>-3862718.72</v>
      </c>
      <c r="AD61" s="3"/>
      <c r="AE61" s="2">
        <f t="shared" si="3"/>
        <v>-94226.92</v>
      </c>
    </row>
    <row r="62" spans="1:31" x14ac:dyDescent="0.25">
      <c r="A62" s="1"/>
      <c r="B62" s="1"/>
      <c r="C62" s="1"/>
      <c r="D62" s="1" t="s">
        <v>71</v>
      </c>
      <c r="E62" s="1"/>
      <c r="F62" s="1"/>
      <c r="G62" s="2"/>
      <c r="H62" s="3"/>
      <c r="I62" s="2"/>
      <c r="J62" s="3"/>
      <c r="K62" s="2"/>
      <c r="L62" s="3"/>
      <c r="M62" s="2"/>
      <c r="N62" s="3"/>
      <c r="O62" s="2"/>
      <c r="P62" s="3"/>
      <c r="Q62" s="2"/>
      <c r="R62" s="3"/>
      <c r="S62" s="2"/>
      <c r="T62" s="3"/>
      <c r="U62" s="2"/>
      <c r="V62" s="3"/>
      <c r="W62" s="2"/>
      <c r="X62" s="3"/>
      <c r="Y62" s="2"/>
      <c r="Z62" s="3"/>
      <c r="AA62" s="2"/>
      <c r="AB62" s="3"/>
      <c r="AC62" s="2"/>
      <c r="AD62" s="3"/>
      <c r="AE62" s="2"/>
    </row>
    <row r="63" spans="1:31" x14ac:dyDescent="0.25">
      <c r="A63" s="1"/>
      <c r="B63" s="1"/>
      <c r="C63" s="1"/>
      <c r="D63" s="1"/>
      <c r="E63" s="1" t="s">
        <v>72</v>
      </c>
      <c r="F63" s="1"/>
      <c r="G63" s="2">
        <v>0</v>
      </c>
      <c r="H63" s="3"/>
      <c r="I63" s="2">
        <v>0</v>
      </c>
      <c r="J63" s="3"/>
      <c r="K63" s="2">
        <v>0</v>
      </c>
      <c r="L63" s="3"/>
      <c r="M63" s="2">
        <v>0</v>
      </c>
      <c r="N63" s="3"/>
      <c r="O63" s="2">
        <v>0</v>
      </c>
      <c r="P63" s="3"/>
      <c r="Q63" s="2">
        <v>0</v>
      </c>
      <c r="R63" s="3"/>
      <c r="S63" s="2">
        <v>0</v>
      </c>
      <c r="T63" s="3"/>
      <c r="U63" s="2">
        <v>0</v>
      </c>
      <c r="V63" s="3"/>
      <c r="W63" s="2">
        <v>0</v>
      </c>
      <c r="X63" s="3"/>
      <c r="Y63" s="2">
        <v>0</v>
      </c>
      <c r="Z63" s="3"/>
      <c r="AA63" s="2">
        <v>0</v>
      </c>
      <c r="AB63" s="3"/>
      <c r="AC63" s="2">
        <v>10765</v>
      </c>
      <c r="AD63" s="3"/>
      <c r="AE63" s="2">
        <f>ROUND(SUM(G63:AC63),5)</f>
        <v>10765</v>
      </c>
    </row>
    <row r="64" spans="1:31" x14ac:dyDescent="0.25">
      <c r="A64" s="1"/>
      <c r="B64" s="1"/>
      <c r="C64" s="1"/>
      <c r="D64" s="1"/>
      <c r="E64" s="1" t="s">
        <v>73</v>
      </c>
      <c r="F64" s="1"/>
      <c r="G64" s="2">
        <v>0</v>
      </c>
      <c r="H64" s="3"/>
      <c r="I64" s="2">
        <v>0</v>
      </c>
      <c r="J64" s="3"/>
      <c r="K64" s="2">
        <v>0</v>
      </c>
      <c r="L64" s="3"/>
      <c r="M64" s="2">
        <v>0</v>
      </c>
      <c r="N64" s="3"/>
      <c r="O64" s="2">
        <v>0</v>
      </c>
      <c r="P64" s="3"/>
      <c r="Q64" s="2">
        <v>300000</v>
      </c>
      <c r="R64" s="3"/>
      <c r="S64" s="2">
        <v>0</v>
      </c>
      <c r="T64" s="3"/>
      <c r="U64" s="2">
        <v>0</v>
      </c>
      <c r="V64" s="3"/>
      <c r="W64" s="2">
        <v>0</v>
      </c>
      <c r="X64" s="3"/>
      <c r="Y64" s="2">
        <v>0</v>
      </c>
      <c r="Z64" s="3"/>
      <c r="AA64" s="2">
        <v>0</v>
      </c>
      <c r="AB64" s="3"/>
      <c r="AC64" s="2">
        <v>-300000</v>
      </c>
      <c r="AD64" s="3"/>
      <c r="AE64" s="2">
        <f>ROUND(SUM(G64:AC64),5)</f>
        <v>0</v>
      </c>
    </row>
    <row r="65" spans="1:31" x14ac:dyDescent="0.25">
      <c r="A65" s="1"/>
      <c r="B65" s="1"/>
      <c r="C65" s="1"/>
      <c r="D65" s="1"/>
      <c r="E65" s="1" t="s">
        <v>74</v>
      </c>
      <c r="F65" s="1"/>
      <c r="G65" s="2"/>
      <c r="H65" s="3"/>
      <c r="I65" s="2"/>
      <c r="J65" s="3"/>
      <c r="K65" s="2"/>
      <c r="L65" s="3"/>
      <c r="M65" s="2"/>
      <c r="N65" s="3"/>
      <c r="O65" s="2"/>
      <c r="P65" s="3"/>
      <c r="Q65" s="2"/>
      <c r="R65" s="3"/>
      <c r="S65" s="2"/>
      <c r="T65" s="3"/>
      <c r="U65" s="2"/>
      <c r="V65" s="3"/>
      <c r="W65" s="2"/>
      <c r="X65" s="3"/>
      <c r="Y65" s="2"/>
      <c r="Z65" s="3"/>
      <c r="AA65" s="2"/>
      <c r="AB65" s="3"/>
      <c r="AC65" s="2"/>
      <c r="AD65" s="3"/>
      <c r="AE65" s="2"/>
    </row>
    <row r="66" spans="1:31" x14ac:dyDescent="0.25">
      <c r="A66" s="1"/>
      <c r="B66" s="1"/>
      <c r="C66" s="1"/>
      <c r="D66" s="1"/>
      <c r="E66" s="1"/>
      <c r="F66" s="1" t="s">
        <v>75</v>
      </c>
      <c r="G66" s="2">
        <v>0</v>
      </c>
      <c r="H66" s="3"/>
      <c r="I66" s="2">
        <v>0</v>
      </c>
      <c r="J66" s="3"/>
      <c r="K66" s="2">
        <v>0</v>
      </c>
      <c r="L66" s="3"/>
      <c r="M66" s="2">
        <v>0</v>
      </c>
      <c r="N66" s="3"/>
      <c r="O66" s="2">
        <v>0</v>
      </c>
      <c r="P66" s="3"/>
      <c r="Q66" s="2">
        <v>0</v>
      </c>
      <c r="R66" s="3"/>
      <c r="S66" s="2">
        <v>0</v>
      </c>
      <c r="T66" s="3"/>
      <c r="U66" s="2">
        <v>0</v>
      </c>
      <c r="V66" s="3"/>
      <c r="W66" s="2">
        <v>2942853.82</v>
      </c>
      <c r="X66" s="3"/>
      <c r="Y66" s="2">
        <v>0</v>
      </c>
      <c r="Z66" s="3"/>
      <c r="AA66" s="2">
        <v>0</v>
      </c>
      <c r="AB66" s="3"/>
      <c r="AC66" s="2">
        <v>0</v>
      </c>
      <c r="AD66" s="3"/>
      <c r="AE66" s="2">
        <f t="shared" ref="AE66:AE72" si="4">ROUND(SUM(G66:AC66),5)</f>
        <v>2942853.82</v>
      </c>
    </row>
    <row r="67" spans="1:31" x14ac:dyDescent="0.25">
      <c r="A67" s="1"/>
      <c r="B67" s="1"/>
      <c r="C67" s="1"/>
      <c r="D67" s="1"/>
      <c r="E67" s="1"/>
      <c r="F67" s="1" t="s">
        <v>76</v>
      </c>
      <c r="G67" s="2">
        <v>0</v>
      </c>
      <c r="H67" s="3"/>
      <c r="I67" s="2">
        <v>0</v>
      </c>
      <c r="J67" s="3"/>
      <c r="K67" s="2">
        <v>0</v>
      </c>
      <c r="L67" s="3"/>
      <c r="M67" s="2">
        <v>0</v>
      </c>
      <c r="N67" s="3"/>
      <c r="O67" s="2">
        <v>0</v>
      </c>
      <c r="P67" s="3"/>
      <c r="Q67" s="2">
        <v>14500</v>
      </c>
      <c r="R67" s="3"/>
      <c r="S67" s="2">
        <v>0</v>
      </c>
      <c r="T67" s="3"/>
      <c r="U67" s="2">
        <v>0</v>
      </c>
      <c r="V67" s="3"/>
      <c r="W67" s="2">
        <v>0</v>
      </c>
      <c r="X67" s="3"/>
      <c r="Y67" s="2">
        <v>0</v>
      </c>
      <c r="Z67" s="3"/>
      <c r="AA67" s="2">
        <v>0</v>
      </c>
      <c r="AB67" s="3"/>
      <c r="AC67" s="2">
        <v>0</v>
      </c>
      <c r="AD67" s="3"/>
      <c r="AE67" s="2">
        <f t="shared" si="4"/>
        <v>14500</v>
      </c>
    </row>
    <row r="68" spans="1:31" x14ac:dyDescent="0.25">
      <c r="A68" s="1"/>
      <c r="B68" s="1"/>
      <c r="C68" s="1"/>
      <c r="D68" s="1"/>
      <c r="E68" s="1"/>
      <c r="F68" s="1" t="s">
        <v>77</v>
      </c>
      <c r="G68" s="2">
        <v>0</v>
      </c>
      <c r="H68" s="3"/>
      <c r="I68" s="2">
        <v>0</v>
      </c>
      <c r="J68" s="3"/>
      <c r="K68" s="2">
        <v>0</v>
      </c>
      <c r="L68" s="3"/>
      <c r="M68" s="2">
        <v>0</v>
      </c>
      <c r="N68" s="3"/>
      <c r="O68" s="2">
        <v>0</v>
      </c>
      <c r="P68" s="3"/>
      <c r="Q68" s="2">
        <v>0</v>
      </c>
      <c r="R68" s="3"/>
      <c r="S68" s="2">
        <v>0</v>
      </c>
      <c r="T68" s="3"/>
      <c r="U68" s="2">
        <v>0</v>
      </c>
      <c r="V68" s="3"/>
      <c r="W68" s="2">
        <v>-14500</v>
      </c>
      <c r="X68" s="3"/>
      <c r="Y68" s="2">
        <v>0</v>
      </c>
      <c r="Z68" s="3"/>
      <c r="AA68" s="2">
        <v>0</v>
      </c>
      <c r="AB68" s="3"/>
      <c r="AC68" s="2">
        <v>0</v>
      </c>
      <c r="AD68" s="3"/>
      <c r="AE68" s="2">
        <f t="shared" si="4"/>
        <v>-14500</v>
      </c>
    </row>
    <row r="69" spans="1:31" ht="15.75" thickBot="1" x14ac:dyDescent="0.3">
      <c r="A69" s="1"/>
      <c r="B69" s="1"/>
      <c r="C69" s="1"/>
      <c r="D69" s="1"/>
      <c r="E69" s="1"/>
      <c r="F69" s="1" t="s">
        <v>78</v>
      </c>
      <c r="G69" s="4">
        <v>0</v>
      </c>
      <c r="H69" s="3"/>
      <c r="I69" s="4">
        <v>0</v>
      </c>
      <c r="J69" s="3"/>
      <c r="K69" s="4">
        <v>0</v>
      </c>
      <c r="L69" s="3"/>
      <c r="M69" s="4">
        <v>0</v>
      </c>
      <c r="N69" s="3"/>
      <c r="O69" s="4">
        <v>0</v>
      </c>
      <c r="P69" s="3"/>
      <c r="Q69" s="4">
        <v>-2942853.82</v>
      </c>
      <c r="R69" s="3"/>
      <c r="S69" s="4">
        <v>0</v>
      </c>
      <c r="T69" s="3"/>
      <c r="U69" s="4">
        <v>0</v>
      </c>
      <c r="V69" s="3"/>
      <c r="W69" s="4">
        <v>0</v>
      </c>
      <c r="X69" s="3"/>
      <c r="Y69" s="4">
        <v>0</v>
      </c>
      <c r="Z69" s="3"/>
      <c r="AA69" s="4">
        <v>0</v>
      </c>
      <c r="AB69" s="3"/>
      <c r="AC69" s="4">
        <v>0</v>
      </c>
      <c r="AD69" s="3"/>
      <c r="AE69" s="4">
        <f t="shared" si="4"/>
        <v>-2942853.82</v>
      </c>
    </row>
    <row r="70" spans="1:31" x14ac:dyDescent="0.25">
      <c r="A70" s="1"/>
      <c r="B70" s="1"/>
      <c r="C70" s="1"/>
      <c r="D70" s="1"/>
      <c r="E70" s="1" t="s">
        <v>79</v>
      </c>
      <c r="F70" s="1"/>
      <c r="G70" s="2">
        <f>ROUND(SUM(G65:G69),5)</f>
        <v>0</v>
      </c>
      <c r="H70" s="3"/>
      <c r="I70" s="2">
        <f>ROUND(SUM(I65:I69),5)</f>
        <v>0</v>
      </c>
      <c r="J70" s="3"/>
      <c r="K70" s="2">
        <f>ROUND(SUM(K65:K69),5)</f>
        <v>0</v>
      </c>
      <c r="L70" s="3"/>
      <c r="M70" s="2">
        <f>ROUND(SUM(M65:M69),5)</f>
        <v>0</v>
      </c>
      <c r="N70" s="3"/>
      <c r="O70" s="2">
        <f>ROUND(SUM(O65:O69),5)</f>
        <v>0</v>
      </c>
      <c r="P70" s="3"/>
      <c r="Q70" s="2">
        <f>ROUND(SUM(Q65:Q69),5)</f>
        <v>-2928353.82</v>
      </c>
      <c r="R70" s="3"/>
      <c r="S70" s="2">
        <f>ROUND(SUM(S65:S69),5)</f>
        <v>0</v>
      </c>
      <c r="T70" s="3"/>
      <c r="U70" s="2">
        <f>ROUND(SUM(U65:U69),5)</f>
        <v>0</v>
      </c>
      <c r="V70" s="3"/>
      <c r="W70" s="2">
        <f>ROUND(SUM(W65:W69),5)</f>
        <v>2928353.82</v>
      </c>
      <c r="X70" s="3"/>
      <c r="Y70" s="2">
        <f>ROUND(SUM(Y65:Y69),5)</f>
        <v>0</v>
      </c>
      <c r="Z70" s="3"/>
      <c r="AA70" s="2">
        <f>ROUND(SUM(AA65:AA69),5)</f>
        <v>0</v>
      </c>
      <c r="AB70" s="3"/>
      <c r="AC70" s="2">
        <f>ROUND(SUM(AC65:AC69),5)</f>
        <v>0</v>
      </c>
      <c r="AD70" s="3"/>
      <c r="AE70" s="2">
        <f t="shared" si="4"/>
        <v>0</v>
      </c>
    </row>
    <row r="71" spans="1:31" x14ac:dyDescent="0.25">
      <c r="A71" s="1"/>
      <c r="B71" s="1"/>
      <c r="C71" s="1"/>
      <c r="D71" s="1"/>
      <c r="E71" s="1" t="s">
        <v>80</v>
      </c>
      <c r="F71" s="1"/>
      <c r="G71" s="2">
        <v>0</v>
      </c>
      <c r="H71" s="3"/>
      <c r="I71" s="2">
        <v>29266.87</v>
      </c>
      <c r="J71" s="3"/>
      <c r="K71" s="2">
        <v>0</v>
      </c>
      <c r="L71" s="3"/>
      <c r="M71" s="2">
        <v>0</v>
      </c>
      <c r="N71" s="3"/>
      <c r="O71" s="2">
        <v>0</v>
      </c>
      <c r="P71" s="3"/>
      <c r="Q71" s="2">
        <v>-8925.58</v>
      </c>
      <c r="R71" s="3"/>
      <c r="S71" s="2">
        <v>0</v>
      </c>
      <c r="T71" s="3"/>
      <c r="U71" s="2">
        <v>0</v>
      </c>
      <c r="V71" s="3"/>
      <c r="W71" s="2">
        <v>0</v>
      </c>
      <c r="X71" s="3"/>
      <c r="Y71" s="2">
        <v>0</v>
      </c>
      <c r="Z71" s="3"/>
      <c r="AA71" s="2">
        <v>0</v>
      </c>
      <c r="AB71" s="3"/>
      <c r="AC71" s="2">
        <v>0</v>
      </c>
      <c r="AD71" s="3"/>
      <c r="AE71" s="2">
        <f t="shared" si="4"/>
        <v>20341.29</v>
      </c>
    </row>
    <row r="72" spans="1:31" x14ac:dyDescent="0.25">
      <c r="A72" s="1"/>
      <c r="B72" s="1"/>
      <c r="C72" s="1"/>
      <c r="D72" s="1"/>
      <c r="E72" s="1" t="s">
        <v>81</v>
      </c>
      <c r="F72" s="1"/>
      <c r="G72" s="2">
        <v>0</v>
      </c>
      <c r="H72" s="3"/>
      <c r="I72" s="2">
        <v>29266.87</v>
      </c>
      <c r="J72" s="3"/>
      <c r="K72" s="2">
        <v>0</v>
      </c>
      <c r="L72" s="3"/>
      <c r="M72" s="2">
        <v>0</v>
      </c>
      <c r="N72" s="3"/>
      <c r="O72" s="2">
        <v>0</v>
      </c>
      <c r="P72" s="3"/>
      <c r="Q72" s="2">
        <v>0</v>
      </c>
      <c r="R72" s="3"/>
      <c r="S72" s="2">
        <v>0</v>
      </c>
      <c r="T72" s="3"/>
      <c r="U72" s="2">
        <v>0</v>
      </c>
      <c r="V72" s="3"/>
      <c r="W72" s="2">
        <v>160669.92000000001</v>
      </c>
      <c r="X72" s="3"/>
      <c r="Y72" s="2">
        <v>0</v>
      </c>
      <c r="Z72" s="3"/>
      <c r="AA72" s="2">
        <v>0</v>
      </c>
      <c r="AB72" s="3"/>
      <c r="AC72" s="2">
        <v>0</v>
      </c>
      <c r="AD72" s="3"/>
      <c r="AE72" s="2">
        <f t="shared" si="4"/>
        <v>189936.79</v>
      </c>
    </row>
    <row r="73" spans="1:31" x14ac:dyDescent="0.25">
      <c r="A73" s="1"/>
      <c r="B73" s="1"/>
      <c r="C73" s="1"/>
      <c r="D73" s="1"/>
      <c r="E73" s="1" t="s">
        <v>82</v>
      </c>
      <c r="F73" s="1"/>
      <c r="G73" s="2"/>
      <c r="H73" s="3"/>
      <c r="I73" s="2"/>
      <c r="J73" s="3"/>
      <c r="K73" s="2"/>
      <c r="L73" s="3"/>
      <c r="M73" s="2"/>
      <c r="N73" s="3"/>
      <c r="O73" s="2"/>
      <c r="P73" s="3"/>
      <c r="Q73" s="2"/>
      <c r="R73" s="3"/>
      <c r="S73" s="2"/>
      <c r="T73" s="3"/>
      <c r="U73" s="2"/>
      <c r="V73" s="3"/>
      <c r="W73" s="2"/>
      <c r="X73" s="3"/>
      <c r="Y73" s="2"/>
      <c r="Z73" s="3"/>
      <c r="AA73" s="2"/>
      <c r="AB73" s="3"/>
      <c r="AC73" s="2"/>
      <c r="AD73" s="3"/>
      <c r="AE73" s="2"/>
    </row>
    <row r="74" spans="1:31" x14ac:dyDescent="0.25">
      <c r="A74" s="1"/>
      <c r="B74" s="1"/>
      <c r="C74" s="1"/>
      <c r="D74" s="1"/>
      <c r="E74" s="1"/>
      <c r="F74" s="1" t="s">
        <v>83</v>
      </c>
      <c r="G74" s="2">
        <v>0</v>
      </c>
      <c r="H74" s="3"/>
      <c r="I74" s="2">
        <v>0</v>
      </c>
      <c r="J74" s="3"/>
      <c r="K74" s="2">
        <v>0</v>
      </c>
      <c r="L74" s="3"/>
      <c r="M74" s="2">
        <v>0</v>
      </c>
      <c r="N74" s="3"/>
      <c r="O74" s="2">
        <v>0</v>
      </c>
      <c r="P74" s="3"/>
      <c r="Q74" s="2">
        <v>0</v>
      </c>
      <c r="R74" s="3"/>
      <c r="S74" s="2">
        <v>0</v>
      </c>
      <c r="T74" s="3"/>
      <c r="U74" s="2">
        <v>0</v>
      </c>
      <c r="V74" s="3"/>
      <c r="W74" s="2">
        <v>0</v>
      </c>
      <c r="X74" s="3"/>
      <c r="Y74" s="2">
        <v>0.02</v>
      </c>
      <c r="Z74" s="3"/>
      <c r="AA74" s="2">
        <v>0</v>
      </c>
      <c r="AB74" s="3"/>
      <c r="AC74" s="2">
        <v>-0.02</v>
      </c>
      <c r="AD74" s="3"/>
      <c r="AE74" s="2">
        <f t="shared" ref="AE74:AE81" si="5">ROUND(SUM(G74:AC74),5)</f>
        <v>0</v>
      </c>
    </row>
    <row r="75" spans="1:31" x14ac:dyDescent="0.25">
      <c r="A75" s="1"/>
      <c r="B75" s="1"/>
      <c r="C75" s="1"/>
      <c r="D75" s="1"/>
      <c r="E75" s="1"/>
      <c r="F75" s="1" t="s">
        <v>84</v>
      </c>
      <c r="G75" s="2">
        <v>0</v>
      </c>
      <c r="H75" s="3"/>
      <c r="I75" s="2">
        <v>0</v>
      </c>
      <c r="J75" s="3"/>
      <c r="K75" s="2">
        <v>0</v>
      </c>
      <c r="L75" s="3"/>
      <c r="M75" s="2">
        <v>0</v>
      </c>
      <c r="N75" s="3"/>
      <c r="O75" s="2">
        <v>0</v>
      </c>
      <c r="P75" s="3"/>
      <c r="Q75" s="2">
        <v>0</v>
      </c>
      <c r="R75" s="3"/>
      <c r="S75" s="2">
        <v>0</v>
      </c>
      <c r="T75" s="3"/>
      <c r="U75" s="2">
        <v>0</v>
      </c>
      <c r="V75" s="3"/>
      <c r="W75" s="2">
        <v>0</v>
      </c>
      <c r="X75" s="3"/>
      <c r="Y75" s="2">
        <v>0.01</v>
      </c>
      <c r="Z75" s="3"/>
      <c r="AA75" s="2">
        <v>0</v>
      </c>
      <c r="AB75" s="3"/>
      <c r="AC75" s="2">
        <v>-0.01</v>
      </c>
      <c r="AD75" s="3"/>
      <c r="AE75" s="2">
        <f t="shared" si="5"/>
        <v>0</v>
      </c>
    </row>
    <row r="76" spans="1:31" ht="15.75" thickBot="1" x14ac:dyDescent="0.3">
      <c r="A76" s="1"/>
      <c r="B76" s="1"/>
      <c r="C76" s="1"/>
      <c r="D76" s="1"/>
      <c r="E76" s="1"/>
      <c r="F76" s="1" t="s">
        <v>85</v>
      </c>
      <c r="G76" s="4">
        <v>0</v>
      </c>
      <c r="H76" s="3"/>
      <c r="I76" s="4">
        <v>-1261.01</v>
      </c>
      <c r="J76" s="3"/>
      <c r="K76" s="4">
        <v>0</v>
      </c>
      <c r="L76" s="3"/>
      <c r="M76" s="4">
        <v>0</v>
      </c>
      <c r="N76" s="3"/>
      <c r="O76" s="4">
        <v>0</v>
      </c>
      <c r="P76" s="3"/>
      <c r="Q76" s="4">
        <v>3003.53</v>
      </c>
      <c r="R76" s="3"/>
      <c r="S76" s="4">
        <v>0</v>
      </c>
      <c r="T76" s="3"/>
      <c r="U76" s="4">
        <v>0</v>
      </c>
      <c r="V76" s="3"/>
      <c r="W76" s="4">
        <v>0</v>
      </c>
      <c r="X76" s="3"/>
      <c r="Y76" s="4">
        <v>-1993.4</v>
      </c>
      <c r="Z76" s="3"/>
      <c r="AA76" s="4">
        <v>0</v>
      </c>
      <c r="AB76" s="3"/>
      <c r="AC76" s="4">
        <v>1467.18</v>
      </c>
      <c r="AD76" s="3"/>
      <c r="AE76" s="4">
        <f t="shared" si="5"/>
        <v>1216.3</v>
      </c>
    </row>
    <row r="77" spans="1:31" x14ac:dyDescent="0.25">
      <c r="A77" s="1"/>
      <c r="B77" s="1"/>
      <c r="C77" s="1"/>
      <c r="D77" s="1"/>
      <c r="E77" s="1" t="s">
        <v>86</v>
      </c>
      <c r="F77" s="1"/>
      <c r="G77" s="2">
        <f>ROUND(SUM(G73:G76),5)</f>
        <v>0</v>
      </c>
      <c r="H77" s="3"/>
      <c r="I77" s="2">
        <f>ROUND(SUM(I73:I76),5)</f>
        <v>-1261.01</v>
      </c>
      <c r="J77" s="3"/>
      <c r="K77" s="2">
        <f>ROUND(SUM(K73:K76),5)</f>
        <v>0</v>
      </c>
      <c r="L77" s="3"/>
      <c r="M77" s="2">
        <f>ROUND(SUM(M73:M76),5)</f>
        <v>0</v>
      </c>
      <c r="N77" s="3"/>
      <c r="O77" s="2">
        <f>ROUND(SUM(O73:O76),5)</f>
        <v>0</v>
      </c>
      <c r="P77" s="3"/>
      <c r="Q77" s="2">
        <f>ROUND(SUM(Q73:Q76),5)</f>
        <v>3003.53</v>
      </c>
      <c r="R77" s="3"/>
      <c r="S77" s="2">
        <f>ROUND(SUM(S73:S76),5)</f>
        <v>0</v>
      </c>
      <c r="T77" s="3"/>
      <c r="U77" s="2">
        <f>ROUND(SUM(U73:U76),5)</f>
        <v>0</v>
      </c>
      <c r="V77" s="3"/>
      <c r="W77" s="2">
        <f>ROUND(SUM(W73:W76),5)</f>
        <v>0</v>
      </c>
      <c r="X77" s="3"/>
      <c r="Y77" s="2">
        <f>ROUND(SUM(Y73:Y76),5)</f>
        <v>-1993.37</v>
      </c>
      <c r="Z77" s="3"/>
      <c r="AA77" s="2">
        <f>ROUND(SUM(AA73:AA76),5)</f>
        <v>0</v>
      </c>
      <c r="AB77" s="3"/>
      <c r="AC77" s="2">
        <f>ROUND(SUM(AC73:AC76),5)</f>
        <v>1467.15</v>
      </c>
      <c r="AD77" s="3"/>
      <c r="AE77" s="2">
        <f t="shared" si="5"/>
        <v>1216.3</v>
      </c>
    </row>
    <row r="78" spans="1:31" ht="15.75" thickBot="1" x14ac:dyDescent="0.3">
      <c r="A78" s="1"/>
      <c r="B78" s="1"/>
      <c r="C78" s="1"/>
      <c r="D78" s="1"/>
      <c r="E78" s="1" t="s">
        <v>87</v>
      </c>
      <c r="F78" s="1"/>
      <c r="G78" s="2">
        <v>0</v>
      </c>
      <c r="H78" s="3"/>
      <c r="I78" s="2">
        <v>0</v>
      </c>
      <c r="J78" s="3"/>
      <c r="K78" s="2">
        <v>0</v>
      </c>
      <c r="L78" s="3"/>
      <c r="M78" s="2">
        <v>0</v>
      </c>
      <c r="N78" s="3"/>
      <c r="O78" s="2">
        <v>0</v>
      </c>
      <c r="P78" s="3"/>
      <c r="Q78" s="2">
        <v>0</v>
      </c>
      <c r="R78" s="3"/>
      <c r="S78" s="2">
        <v>662.27</v>
      </c>
      <c r="T78" s="3"/>
      <c r="U78" s="2">
        <v>0</v>
      </c>
      <c r="V78" s="3"/>
      <c r="W78" s="2">
        <v>0</v>
      </c>
      <c r="X78" s="3"/>
      <c r="Y78" s="2">
        <v>0</v>
      </c>
      <c r="Z78" s="3"/>
      <c r="AA78" s="2">
        <v>0</v>
      </c>
      <c r="AB78" s="3"/>
      <c r="AC78" s="2">
        <v>21.74</v>
      </c>
      <c r="AD78" s="3"/>
      <c r="AE78" s="2">
        <f t="shared" si="5"/>
        <v>684.01</v>
      </c>
    </row>
    <row r="79" spans="1:31" ht="15.75" thickBot="1" x14ac:dyDescent="0.3">
      <c r="A79" s="1"/>
      <c r="B79" s="1"/>
      <c r="C79" s="1"/>
      <c r="D79" s="1" t="s">
        <v>88</v>
      </c>
      <c r="E79" s="1"/>
      <c r="F79" s="1"/>
      <c r="G79" s="6">
        <f>ROUND(SUM(G62:G64)+SUM(G70:G72)+SUM(G77:G78),5)</f>
        <v>0</v>
      </c>
      <c r="H79" s="3"/>
      <c r="I79" s="6">
        <f>ROUND(SUM(I62:I64)+SUM(I70:I72)+SUM(I77:I78),5)</f>
        <v>57272.73</v>
      </c>
      <c r="J79" s="3"/>
      <c r="K79" s="6">
        <f>ROUND(SUM(K62:K64)+SUM(K70:K72)+SUM(K77:K78),5)</f>
        <v>0</v>
      </c>
      <c r="L79" s="3"/>
      <c r="M79" s="6">
        <f>ROUND(SUM(M62:M64)+SUM(M70:M72)+SUM(M77:M78),5)</f>
        <v>0</v>
      </c>
      <c r="N79" s="3"/>
      <c r="O79" s="6">
        <f>ROUND(SUM(O62:O64)+SUM(O70:O72)+SUM(O77:O78),5)</f>
        <v>0</v>
      </c>
      <c r="P79" s="3"/>
      <c r="Q79" s="6">
        <f>ROUND(SUM(Q62:Q64)+SUM(Q70:Q72)+SUM(Q77:Q78),5)</f>
        <v>-2634275.87</v>
      </c>
      <c r="R79" s="3"/>
      <c r="S79" s="6">
        <f>ROUND(SUM(S62:S64)+SUM(S70:S72)+SUM(S77:S78),5)</f>
        <v>662.27</v>
      </c>
      <c r="T79" s="3"/>
      <c r="U79" s="6">
        <f>ROUND(SUM(U62:U64)+SUM(U70:U72)+SUM(U77:U78),5)</f>
        <v>0</v>
      </c>
      <c r="V79" s="3"/>
      <c r="W79" s="6">
        <f>ROUND(SUM(W62:W64)+SUM(W70:W72)+SUM(W77:W78),5)</f>
        <v>3089023.74</v>
      </c>
      <c r="X79" s="3"/>
      <c r="Y79" s="6">
        <f>ROUND(SUM(Y62:Y64)+SUM(Y70:Y72)+SUM(Y77:Y78),5)</f>
        <v>-1993.37</v>
      </c>
      <c r="Z79" s="3"/>
      <c r="AA79" s="6">
        <f>ROUND(SUM(AA62:AA64)+SUM(AA70:AA72)+SUM(AA77:AA78),5)</f>
        <v>0</v>
      </c>
      <c r="AB79" s="3"/>
      <c r="AC79" s="6">
        <f>ROUND(SUM(AC62:AC64)+SUM(AC70:AC72)+SUM(AC77:AC78),5)</f>
        <v>-287746.11</v>
      </c>
      <c r="AD79" s="3"/>
      <c r="AE79" s="6">
        <f t="shared" si="5"/>
        <v>222943.39</v>
      </c>
    </row>
    <row r="80" spans="1:31" ht="15.75" thickBot="1" x14ac:dyDescent="0.3">
      <c r="A80" s="1"/>
      <c r="B80" s="1"/>
      <c r="C80" s="1" t="s">
        <v>89</v>
      </c>
      <c r="D80" s="1"/>
      <c r="E80" s="1"/>
      <c r="F80" s="1"/>
      <c r="G80" s="5">
        <f>ROUND(G45+G51+G61+G79,5)</f>
        <v>19610.79</v>
      </c>
      <c r="H80" s="3"/>
      <c r="I80" s="5">
        <f>ROUND(I45+I51+I61+I79,5)</f>
        <v>2500326.5</v>
      </c>
      <c r="J80" s="3"/>
      <c r="K80" s="5">
        <f>ROUND(K45+K51+K61+K79,5)</f>
        <v>3375.38</v>
      </c>
      <c r="L80" s="3"/>
      <c r="M80" s="5">
        <f>ROUND(M45+M51+M61+M79,5)</f>
        <v>347.46</v>
      </c>
      <c r="N80" s="3"/>
      <c r="O80" s="5">
        <f>ROUND(O45+O51+O61+O79,5)</f>
        <v>7295.68</v>
      </c>
      <c r="P80" s="3"/>
      <c r="Q80" s="5">
        <f>ROUND(Q45+Q51+Q61+Q79,5)</f>
        <v>-2759324.02</v>
      </c>
      <c r="R80" s="3"/>
      <c r="S80" s="5">
        <f>ROUND(S45+S51+S61+S79,5)</f>
        <v>141188.79999999999</v>
      </c>
      <c r="T80" s="3"/>
      <c r="U80" s="5">
        <f>ROUND(U45+U51+U61+U79,5)</f>
        <v>11991.94</v>
      </c>
      <c r="V80" s="3"/>
      <c r="W80" s="5">
        <f>ROUND(W45+W51+W61+W79,5)</f>
        <v>3111173.42</v>
      </c>
      <c r="X80" s="3"/>
      <c r="Y80" s="5">
        <f>ROUND(Y45+Y51+Y61+Y79,5)</f>
        <v>2080382.41</v>
      </c>
      <c r="Z80" s="3"/>
      <c r="AA80" s="5">
        <f>ROUND(AA45+AA51+AA61+AA79,5)</f>
        <v>0</v>
      </c>
      <c r="AB80" s="3"/>
      <c r="AC80" s="5">
        <f>ROUND(AC45+AC51+AC61+AC79,5)</f>
        <v>-4177305.07</v>
      </c>
      <c r="AD80" s="3"/>
      <c r="AE80" s="5">
        <f t="shared" si="5"/>
        <v>939063.29</v>
      </c>
    </row>
    <row r="81" spans="1:31" x14ac:dyDescent="0.25">
      <c r="A81" s="1"/>
      <c r="B81" s="1" t="s">
        <v>90</v>
      </c>
      <c r="C81" s="1"/>
      <c r="D81" s="1"/>
      <c r="E81" s="1"/>
      <c r="F81" s="1"/>
      <c r="G81" s="2">
        <f>ROUND(G44+G80,5)</f>
        <v>19610.79</v>
      </c>
      <c r="H81" s="3"/>
      <c r="I81" s="2">
        <f>ROUND(I44+I80,5)</f>
        <v>2500326.5</v>
      </c>
      <c r="J81" s="3"/>
      <c r="K81" s="2">
        <f>ROUND(K44+K80,5)</f>
        <v>3375.38</v>
      </c>
      <c r="L81" s="3"/>
      <c r="M81" s="2">
        <f>ROUND(M44+M80,5)</f>
        <v>347.46</v>
      </c>
      <c r="N81" s="3"/>
      <c r="O81" s="2">
        <f>ROUND(O44+O80,5)</f>
        <v>7295.68</v>
      </c>
      <c r="P81" s="3"/>
      <c r="Q81" s="2">
        <f>ROUND(Q44+Q80,5)</f>
        <v>-2759324.02</v>
      </c>
      <c r="R81" s="3"/>
      <c r="S81" s="2">
        <f>ROUND(S44+S80,5)</f>
        <v>141188.79999999999</v>
      </c>
      <c r="T81" s="3"/>
      <c r="U81" s="2">
        <f>ROUND(U44+U80,5)</f>
        <v>11991.94</v>
      </c>
      <c r="V81" s="3"/>
      <c r="W81" s="2">
        <f>ROUND(W44+W80,5)</f>
        <v>3111173.42</v>
      </c>
      <c r="X81" s="3"/>
      <c r="Y81" s="2">
        <f>ROUND(Y44+Y80,5)</f>
        <v>2080382.41</v>
      </c>
      <c r="Z81" s="3"/>
      <c r="AA81" s="2">
        <f>ROUND(AA44+AA80,5)</f>
        <v>0</v>
      </c>
      <c r="AB81" s="3"/>
      <c r="AC81" s="2">
        <f>ROUND(AC44+AC80,5)</f>
        <v>-4177305.07</v>
      </c>
      <c r="AD81" s="3"/>
      <c r="AE81" s="2">
        <f t="shared" si="5"/>
        <v>939063.29</v>
      </c>
    </row>
    <row r="82" spans="1:31" x14ac:dyDescent="0.25">
      <c r="A82" s="1"/>
      <c r="B82" s="1" t="s">
        <v>91</v>
      </c>
      <c r="C82" s="1"/>
      <c r="D82" s="1"/>
      <c r="E82" s="1"/>
      <c r="F82" s="1"/>
      <c r="G82" s="2"/>
      <c r="H82" s="3"/>
      <c r="I82" s="2"/>
      <c r="J82" s="3"/>
      <c r="K82" s="2"/>
      <c r="L82" s="3"/>
      <c r="M82" s="2"/>
      <c r="N82" s="3"/>
      <c r="O82" s="2"/>
      <c r="P82" s="3"/>
      <c r="Q82" s="2"/>
      <c r="R82" s="3"/>
      <c r="S82" s="2"/>
      <c r="T82" s="3"/>
      <c r="U82" s="2"/>
      <c r="V82" s="3"/>
      <c r="W82" s="2"/>
      <c r="X82" s="3"/>
      <c r="Y82" s="2"/>
      <c r="Z82" s="3"/>
      <c r="AA82" s="2"/>
      <c r="AB82" s="3"/>
      <c r="AC82" s="2"/>
      <c r="AD82" s="3"/>
      <c r="AE82" s="2"/>
    </row>
    <row r="83" spans="1:31" x14ac:dyDescent="0.25">
      <c r="A83" s="1"/>
      <c r="B83" s="1"/>
      <c r="C83" s="1" t="s">
        <v>92</v>
      </c>
      <c r="D83" s="1"/>
      <c r="E83" s="1"/>
      <c r="F83" s="1"/>
      <c r="G83" s="2">
        <v>0</v>
      </c>
      <c r="H83" s="3"/>
      <c r="I83" s="2">
        <v>0</v>
      </c>
      <c r="J83" s="3"/>
      <c r="K83" s="2">
        <v>0</v>
      </c>
      <c r="L83" s="3"/>
      <c r="M83" s="2">
        <v>0</v>
      </c>
      <c r="N83" s="3"/>
      <c r="O83" s="2">
        <v>0</v>
      </c>
      <c r="P83" s="3"/>
      <c r="Q83" s="2">
        <v>-50000</v>
      </c>
      <c r="R83" s="3"/>
      <c r="S83" s="2">
        <v>0</v>
      </c>
      <c r="T83" s="3"/>
      <c r="U83" s="2">
        <v>0</v>
      </c>
      <c r="V83" s="3"/>
      <c r="W83" s="2">
        <v>0</v>
      </c>
      <c r="X83" s="3"/>
      <c r="Y83" s="2">
        <v>0</v>
      </c>
      <c r="Z83" s="3"/>
      <c r="AA83" s="2">
        <v>0</v>
      </c>
      <c r="AB83" s="3"/>
      <c r="AC83" s="2">
        <v>0</v>
      </c>
      <c r="AD83" s="3"/>
      <c r="AE83" s="2">
        <f t="shared" ref="AE83:AE90" si="6">ROUND(SUM(G83:AC83),5)</f>
        <v>-50000</v>
      </c>
    </row>
    <row r="84" spans="1:31" x14ac:dyDescent="0.25">
      <c r="A84" s="1"/>
      <c r="B84" s="1"/>
      <c r="C84" s="1" t="s">
        <v>93</v>
      </c>
      <c r="D84" s="1"/>
      <c r="E84" s="1"/>
      <c r="F84" s="1"/>
      <c r="G84" s="2">
        <v>0</v>
      </c>
      <c r="H84" s="3"/>
      <c r="I84" s="2">
        <v>0</v>
      </c>
      <c r="J84" s="3"/>
      <c r="K84" s="2">
        <v>0</v>
      </c>
      <c r="L84" s="3"/>
      <c r="M84" s="2">
        <v>0</v>
      </c>
      <c r="N84" s="3"/>
      <c r="O84" s="2">
        <v>0</v>
      </c>
      <c r="P84" s="3"/>
      <c r="Q84" s="2">
        <v>0</v>
      </c>
      <c r="R84" s="3"/>
      <c r="S84" s="2">
        <v>0</v>
      </c>
      <c r="T84" s="3"/>
      <c r="U84" s="2">
        <v>0</v>
      </c>
      <c r="V84" s="3"/>
      <c r="W84" s="2">
        <v>0</v>
      </c>
      <c r="X84" s="3"/>
      <c r="Y84" s="2">
        <v>0</v>
      </c>
      <c r="Z84" s="3"/>
      <c r="AA84" s="2">
        <v>0</v>
      </c>
      <c r="AB84" s="3"/>
      <c r="AC84" s="2">
        <v>394492</v>
      </c>
      <c r="AD84" s="3"/>
      <c r="AE84" s="2">
        <f t="shared" si="6"/>
        <v>394492</v>
      </c>
    </row>
    <row r="85" spans="1:31" x14ac:dyDescent="0.25">
      <c r="A85" s="1"/>
      <c r="B85" s="1"/>
      <c r="C85" s="1" t="s">
        <v>94</v>
      </c>
      <c r="D85" s="1"/>
      <c r="E85" s="1"/>
      <c r="F85" s="1"/>
      <c r="G85" s="2">
        <v>-41562.61</v>
      </c>
      <c r="H85" s="3"/>
      <c r="I85" s="2">
        <v>3394198.51</v>
      </c>
      <c r="J85" s="3"/>
      <c r="K85" s="2">
        <v>-22946.16</v>
      </c>
      <c r="L85" s="3"/>
      <c r="M85" s="2">
        <v>-347.46</v>
      </c>
      <c r="N85" s="3"/>
      <c r="O85" s="2">
        <v>-1523.7</v>
      </c>
      <c r="P85" s="3"/>
      <c r="Q85" s="2">
        <v>-2340627.34</v>
      </c>
      <c r="R85" s="3"/>
      <c r="S85" s="2">
        <v>446726.3</v>
      </c>
      <c r="T85" s="3"/>
      <c r="U85" s="2">
        <v>-30247.42</v>
      </c>
      <c r="V85" s="3"/>
      <c r="W85" s="2">
        <v>302586.96000000002</v>
      </c>
      <c r="X85" s="3"/>
      <c r="Y85" s="2">
        <v>3833148.99</v>
      </c>
      <c r="Z85" s="3"/>
      <c r="AA85" s="2">
        <v>133.76</v>
      </c>
      <c r="AB85" s="3"/>
      <c r="AC85" s="2">
        <v>-1230222.92</v>
      </c>
      <c r="AD85" s="3"/>
      <c r="AE85" s="2">
        <f t="shared" si="6"/>
        <v>4309316.91</v>
      </c>
    </row>
    <row r="86" spans="1:31" x14ac:dyDescent="0.25">
      <c r="A86" s="1"/>
      <c r="B86" s="1"/>
      <c r="C86" s="1" t="s">
        <v>95</v>
      </c>
      <c r="D86" s="1"/>
      <c r="E86" s="1"/>
      <c r="F86" s="1"/>
      <c r="G86" s="2">
        <v>0</v>
      </c>
      <c r="H86" s="3"/>
      <c r="I86" s="2">
        <v>-15</v>
      </c>
      <c r="J86" s="3"/>
      <c r="K86" s="2">
        <v>0</v>
      </c>
      <c r="L86" s="3"/>
      <c r="M86" s="2">
        <v>0</v>
      </c>
      <c r="N86" s="3"/>
      <c r="O86" s="2">
        <v>0</v>
      </c>
      <c r="P86" s="3"/>
      <c r="Q86" s="2">
        <v>-31502.47</v>
      </c>
      <c r="R86" s="3"/>
      <c r="S86" s="2">
        <v>0</v>
      </c>
      <c r="T86" s="3"/>
      <c r="U86" s="2">
        <v>0</v>
      </c>
      <c r="V86" s="3"/>
      <c r="W86" s="2">
        <v>0</v>
      </c>
      <c r="X86" s="3"/>
      <c r="Y86" s="2">
        <v>1500</v>
      </c>
      <c r="Z86" s="3"/>
      <c r="AA86" s="2">
        <v>0</v>
      </c>
      <c r="AB86" s="3"/>
      <c r="AC86" s="2">
        <v>0</v>
      </c>
      <c r="AD86" s="3"/>
      <c r="AE86" s="2">
        <f t="shared" si="6"/>
        <v>-30017.47</v>
      </c>
    </row>
    <row r="87" spans="1:31" ht="15.75" thickBot="1" x14ac:dyDescent="0.3">
      <c r="A87" s="1"/>
      <c r="B87" s="1"/>
      <c r="C87" s="1" t="s">
        <v>96</v>
      </c>
      <c r="D87" s="1"/>
      <c r="E87" s="1"/>
      <c r="F87" s="1"/>
      <c r="G87" s="2">
        <v>-49260.26</v>
      </c>
      <c r="H87" s="3"/>
      <c r="I87" s="2">
        <v>1323535</v>
      </c>
      <c r="J87" s="3"/>
      <c r="K87" s="2">
        <v>0</v>
      </c>
      <c r="L87" s="3"/>
      <c r="M87" s="2">
        <v>0</v>
      </c>
      <c r="N87" s="3"/>
      <c r="O87" s="2">
        <v>0</v>
      </c>
      <c r="P87" s="3"/>
      <c r="Q87" s="2">
        <v>-452213.1</v>
      </c>
      <c r="R87" s="3"/>
      <c r="S87" s="2">
        <v>418390.91</v>
      </c>
      <c r="T87" s="3"/>
      <c r="U87" s="2">
        <v>0</v>
      </c>
      <c r="V87" s="3"/>
      <c r="W87" s="2">
        <v>87152.49</v>
      </c>
      <c r="X87" s="3"/>
      <c r="Y87" s="2">
        <v>726097.41</v>
      </c>
      <c r="Z87" s="3"/>
      <c r="AA87" s="2">
        <v>0</v>
      </c>
      <c r="AB87" s="3"/>
      <c r="AC87" s="2">
        <v>902.39</v>
      </c>
      <c r="AD87" s="3"/>
      <c r="AE87" s="2">
        <f t="shared" si="6"/>
        <v>2054604.84</v>
      </c>
    </row>
    <row r="88" spans="1:31" ht="15.75" thickBot="1" x14ac:dyDescent="0.3">
      <c r="A88" s="1"/>
      <c r="B88" s="1" t="s">
        <v>97</v>
      </c>
      <c r="C88" s="1"/>
      <c r="D88" s="1"/>
      <c r="E88" s="1"/>
      <c r="F88" s="1"/>
      <c r="G88" s="6">
        <f>ROUND(SUM(G82:G87),5)</f>
        <v>-90822.87</v>
      </c>
      <c r="H88" s="3"/>
      <c r="I88" s="6">
        <f>ROUND(SUM(I82:I87),5)</f>
        <v>4717718.51</v>
      </c>
      <c r="J88" s="3"/>
      <c r="K88" s="6">
        <f>ROUND(SUM(K82:K87),5)</f>
        <v>-22946.16</v>
      </c>
      <c r="L88" s="3"/>
      <c r="M88" s="6">
        <f>ROUND(SUM(M82:M87),5)</f>
        <v>-347.46</v>
      </c>
      <c r="N88" s="3"/>
      <c r="O88" s="6">
        <f>ROUND(SUM(O82:O87),5)</f>
        <v>-1523.7</v>
      </c>
      <c r="P88" s="3"/>
      <c r="Q88" s="6">
        <f>ROUND(SUM(Q82:Q87),5)</f>
        <v>-2874342.91</v>
      </c>
      <c r="R88" s="3"/>
      <c r="S88" s="6">
        <f>ROUND(SUM(S82:S87),5)</f>
        <v>865117.21</v>
      </c>
      <c r="T88" s="3"/>
      <c r="U88" s="6">
        <f>ROUND(SUM(U82:U87),5)</f>
        <v>-30247.42</v>
      </c>
      <c r="V88" s="3"/>
      <c r="W88" s="6">
        <f>ROUND(SUM(W82:W87),5)</f>
        <v>389739.45</v>
      </c>
      <c r="X88" s="3"/>
      <c r="Y88" s="6">
        <f>ROUND(SUM(Y82:Y87),5)</f>
        <v>4560746.4000000004</v>
      </c>
      <c r="Z88" s="3"/>
      <c r="AA88" s="6">
        <f>ROUND(SUM(AA82:AA87),5)</f>
        <v>133.76</v>
      </c>
      <c r="AB88" s="3"/>
      <c r="AC88" s="6">
        <f>ROUND(SUM(AC82:AC87),5)</f>
        <v>-834828.53</v>
      </c>
      <c r="AD88" s="3"/>
      <c r="AE88" s="6">
        <f t="shared" si="6"/>
        <v>6678396.2800000003</v>
      </c>
    </row>
    <row r="89" spans="1:31" s="8" customFormat="1" ht="12" thickBot="1" x14ac:dyDescent="0.25">
      <c r="A89" s="1" t="s">
        <v>98</v>
      </c>
      <c r="B89" s="1"/>
      <c r="C89" s="1"/>
      <c r="D89" s="1"/>
      <c r="E89" s="1"/>
      <c r="F89" s="1"/>
      <c r="G89" s="7">
        <f>ROUND(G43+G81+G88,5)</f>
        <v>-71212.08</v>
      </c>
      <c r="H89" s="1"/>
      <c r="I89" s="7">
        <f>ROUND(I43+I81+I88,5)</f>
        <v>7218045.0099999998</v>
      </c>
      <c r="J89" s="1"/>
      <c r="K89" s="7">
        <f>ROUND(K43+K81+K88,5)</f>
        <v>-19570.78</v>
      </c>
      <c r="L89" s="1"/>
      <c r="M89" s="7">
        <f>ROUND(M43+M81+M88,5)</f>
        <v>0</v>
      </c>
      <c r="N89" s="1"/>
      <c r="O89" s="7">
        <f>ROUND(O43+O81+O88,5)</f>
        <v>5771.98</v>
      </c>
      <c r="P89" s="1"/>
      <c r="Q89" s="7">
        <f>ROUND(Q43+Q81+Q88,5)</f>
        <v>-5633666.9299999997</v>
      </c>
      <c r="R89" s="1"/>
      <c r="S89" s="7">
        <f>ROUND(S43+S81+S88,5)</f>
        <v>1006306.01</v>
      </c>
      <c r="T89" s="1"/>
      <c r="U89" s="7">
        <f>ROUND(U43+U81+U88,5)</f>
        <v>-18255.48</v>
      </c>
      <c r="V89" s="1"/>
      <c r="W89" s="7">
        <f>ROUND(W43+W81+W88,5)</f>
        <v>3500912.87</v>
      </c>
      <c r="X89" s="1"/>
      <c r="Y89" s="7">
        <f>ROUND(Y43+Y81+Y88,5)</f>
        <v>6641128.8099999996</v>
      </c>
      <c r="Z89" s="1"/>
      <c r="AA89" s="7">
        <f>ROUND(AA43+AA81+AA88,5)</f>
        <v>133.76</v>
      </c>
      <c r="AB89" s="1"/>
      <c r="AC89" s="7">
        <f>ROUND(AC43+AC81+AC88,5)</f>
        <v>-5012133.5999999996</v>
      </c>
      <c r="AD89" s="1"/>
      <c r="AE89" s="7">
        <f t="shared" si="6"/>
        <v>7617459.5700000003</v>
      </c>
    </row>
    <row r="90" spans="1:31" ht="15.75" thickTop="1" x14ac:dyDescent="0.25">
      <c r="A90" s="1" t="s">
        <v>99</v>
      </c>
      <c r="B90" s="1"/>
      <c r="C90" s="1"/>
      <c r="D90" s="1"/>
      <c r="E90" s="1"/>
      <c r="F90" s="1"/>
      <c r="G90" s="2">
        <v>380090.23</v>
      </c>
      <c r="H90" s="3"/>
      <c r="I90" s="2">
        <v>2306887.71</v>
      </c>
      <c r="J90" s="3"/>
      <c r="K90" s="2">
        <v>0</v>
      </c>
      <c r="L90" s="3"/>
      <c r="M90" s="2">
        <v>0</v>
      </c>
      <c r="N90" s="3"/>
      <c r="O90" s="2">
        <v>0</v>
      </c>
      <c r="P90" s="3"/>
      <c r="Q90" s="2">
        <v>-1987462.22</v>
      </c>
      <c r="R90" s="3"/>
      <c r="S90" s="2">
        <v>264848.23</v>
      </c>
      <c r="T90" s="3"/>
      <c r="U90" s="2">
        <v>416.98</v>
      </c>
      <c r="V90" s="3"/>
      <c r="W90" s="2">
        <v>-693595.01</v>
      </c>
      <c r="X90" s="3"/>
      <c r="Y90" s="2">
        <v>1480414.99</v>
      </c>
      <c r="Z90" s="3"/>
      <c r="AA90" s="2">
        <v>0</v>
      </c>
      <c r="AB90" s="3"/>
      <c r="AC90" s="2">
        <v>-1751600.92</v>
      </c>
      <c r="AD90" s="3"/>
      <c r="AE90" s="2">
        <f t="shared" si="6"/>
        <v>-0.01</v>
      </c>
    </row>
  </sheetData>
  <pageMargins left="0.7" right="0.7" top="0.75" bottom="0.75" header="0.1" footer="0.3"/>
  <pageSetup orientation="portrait" r:id="rId1"/>
  <headerFooter>
    <oddHeader>&amp;L&amp;"Arial,Bold"&amp;8 8:28 AM
&amp;"Arial,Bold"&amp;8 04/27/26
&amp;"Arial,Bold"&amp;8 Accrual Basis&amp;C&amp;"Arial,Bold"&amp;12 Full Sail Marine Group
&amp;"Arial,Bold"&amp;14 Balance Sheet by Class
&amp;"Arial,Bold"&amp;10 As of April 30,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95250</xdr:colOff>
                <xdr:row>1</xdr:row>
                <xdr:rowOff>38100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Grove</dc:creator>
  <cp:lastModifiedBy>Ahmadul Karim Chowdhury</cp:lastModifiedBy>
  <dcterms:created xsi:type="dcterms:W3CDTF">2026-04-27T14:28:52Z</dcterms:created>
  <dcterms:modified xsi:type="dcterms:W3CDTF">2026-05-05T18:39:28Z</dcterms:modified>
</cp:coreProperties>
</file>