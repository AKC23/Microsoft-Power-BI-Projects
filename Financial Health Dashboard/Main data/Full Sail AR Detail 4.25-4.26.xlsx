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Upwork\Ahmadul Karim\13. PowerBI with Monday and QuickBook\QB Data\"/>
    </mc:Choice>
  </mc:AlternateContent>
  <xr:revisionPtr revIDLastSave="0" documentId="13_ncr:1_{A671207E-7E5D-4D19-B7DF-C607EBF1D7BE}" xr6:coauthVersionLast="47" xr6:coauthVersionMax="47" xr10:uidLastSave="{00000000-0000-0000-0000-000000000000}"/>
  <bookViews>
    <workbookView xWindow="21135" yWindow="1245" windowWidth="18240" windowHeight="13485" activeTab="1" xr2:uid="{6844EE36-7119-4BF6-AFA8-91EBB1A16C21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Sheet1!$A:$A,Sheet1!$1:$1</definedName>
    <definedName name="QB_COLUMN_1" localSheetId="1" hidden="1">Sheet1!$B$1</definedName>
    <definedName name="QB_COLUMN_12" localSheetId="1" hidden="1">Sheet1!$N$1</definedName>
    <definedName name="QB_COLUMN_13" localSheetId="1" hidden="1">Sheet1!$P$1</definedName>
    <definedName name="QB_COLUMN_17" localSheetId="1" hidden="1">Sheet1!$R$1</definedName>
    <definedName name="QB_COLUMN_24" localSheetId="1" hidden="1">Sheet1!$T$1</definedName>
    <definedName name="QB_COLUMN_25" localSheetId="1" hidden="1">Sheet1!$V$1</definedName>
    <definedName name="QB_COLUMN_3" localSheetId="1" hidden="1">Sheet1!$D$1</definedName>
    <definedName name="QB_COLUMN_4" localSheetId="1" hidden="1">Sheet1!$F$1</definedName>
    <definedName name="QB_COLUMN_5" localSheetId="1" hidden="1">Sheet1!$H$1</definedName>
    <definedName name="QB_COLUMN_6" localSheetId="1" hidden="1">Sheet1!$J$1</definedName>
    <definedName name="QB_COLUMN_7" localSheetId="1" hidden="1">Sheet1!$L$1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Sheet1!$35:$35,Sheet1!$36:$36,Sheet1!$37:$37,Sheet1!$38:$38,Sheet1!$39:$39,Sheet1!$40:$40,Sheet1!$41:$41,Sheet1!$42:$42,Sheet1!$43:$43,Sheet1!$44:$44,Sheet1!$45:$45,Sheet1!$46:$46,Sheet1!$47:$47,Sheet1!$48:$48,Sheet1!$49:$49,Sheet1!$52:$52</definedName>
    <definedName name="QB_DATA_3" localSheetId="1" hidden="1">Sheet1!$53:$53,Sheet1!$54:$54,Sheet1!$55:$55,Sheet1!$56:$56,Sheet1!$57:$57,Sheet1!$58:$58,Sheet1!$59:$59,Sheet1!$60:$60,Sheet1!$61:$61,Sheet1!$62:$62,Sheet1!$63:$63,Sheet1!$66:$66,Sheet1!$67:$67,Sheet1!$68:$68,Sheet1!$69:$69,Sheet1!$70:$70</definedName>
    <definedName name="QB_DATA_4" localSheetId="1" hidden="1">Sheet1!$71:$71,Sheet1!$72:$72,Sheet1!$75:$75,Sheet1!$76:$76,Sheet1!$77:$77,Sheet1!$78:$78,Sheet1!$79:$79,Sheet1!$80:$80,Sheet1!$81:$81,Sheet1!$84:$84,Sheet1!$85:$85,Sheet1!$86:$86,Sheet1!$87:$87,Sheet1!$88:$88</definedName>
    <definedName name="QB_FORMULA_0" localSheetId="1" hidden="1">Sheet1!$V$50,Sheet1!$V$64,Sheet1!$V$73,Sheet1!$V$82,Sheet1!$V$89,Sheet1!$V$90</definedName>
    <definedName name="QB_ROW_7701" localSheetId="1" hidden="1">Sheet1!$A$2</definedName>
    <definedName name="QB_ROW_7702" localSheetId="1" hidden="1">Sheet1!$A$51</definedName>
    <definedName name="QB_ROW_7703" localSheetId="1" hidden="1">Sheet1!$A$65</definedName>
    <definedName name="QB_ROW_7704" localSheetId="1" hidden="1">Sheet1!$A$74</definedName>
    <definedName name="QB_ROW_7705" localSheetId="1" hidden="1">Sheet1!$A$83</definedName>
    <definedName name="QB_ROW_7731" localSheetId="1" hidden="1">Sheet1!$A$50</definedName>
    <definedName name="QB_ROW_7732" localSheetId="1" hidden="1">Sheet1!$A$64</definedName>
    <definedName name="QB_ROW_7733" localSheetId="1" hidden="1">Sheet1!$A$73</definedName>
    <definedName name="QB_ROW_7734" localSheetId="1" hidden="1">Sheet1!$A$82</definedName>
    <definedName name="QB_ROW_7735" localSheetId="1" hidden="1">Sheet1!$A$89</definedName>
    <definedName name="QB_ROW_8030" localSheetId="1" hidden="1">Sheet1!$A$90</definedName>
    <definedName name="QBCANSUPPORTUPDATE" localSheetId="1">TRUE</definedName>
    <definedName name="QBCOMPANYFILENAME" localSheetId="1">"D:\Client Data\Jennifer Gunn\Full Sail\Full Sail 2024 Final.qbw"</definedName>
    <definedName name="QBENDDATE" localSheetId="1">20260430</definedName>
    <definedName name="QBHEADERSONSCREEN" localSheetId="1">FALSE</definedName>
    <definedName name="QBMETADATASIZE" localSheetId="1">8306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"bbe4db3a439e4640afc38e6b250519cf"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35</definedName>
    <definedName name="QBREPORTSUBCOLAXIS" localSheetId="1">0</definedName>
    <definedName name="QBREPORTTYPE" localSheetId="1">13</definedName>
    <definedName name="QBROWHEADERS" localSheetId="1">1</definedName>
    <definedName name="QBSTARTDATE" localSheetId="1">20250401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9" i="1" l="1"/>
  <c r="V82" i="1"/>
  <c r="V73" i="1"/>
  <c r="V64" i="1"/>
  <c r="V50" i="1"/>
  <c r="V90" i="1" s="1"/>
</calcChain>
</file>

<file path=xl/sharedStrings.xml><?xml version="1.0" encoding="utf-8"?>
<sst xmlns="http://schemas.openxmlformats.org/spreadsheetml/2006/main" count="482" uniqueCount="244">
  <si>
    <t>Type</t>
  </si>
  <si>
    <t>Date</t>
  </si>
  <si>
    <t>Num</t>
  </si>
  <si>
    <t>P. O. #</t>
  </si>
  <si>
    <t>Name</t>
  </si>
  <si>
    <t>Terms</t>
  </si>
  <si>
    <t>Due Date</t>
  </si>
  <si>
    <t>Class</t>
  </si>
  <si>
    <t>Aging</t>
  </si>
  <si>
    <t>Open Balance</t>
  </si>
  <si>
    <t>Current</t>
  </si>
  <si>
    <t>Total Current</t>
  </si>
  <si>
    <t>1 - 30</t>
  </si>
  <si>
    <t>Total 1 - 30</t>
  </si>
  <si>
    <t>31 - 60</t>
  </si>
  <si>
    <t>Total 31 - 60</t>
  </si>
  <si>
    <t>61 - 90</t>
  </si>
  <si>
    <t>Total 61 - 90</t>
  </si>
  <si>
    <t>&gt; 90</t>
  </si>
  <si>
    <t>Total &gt; 90</t>
  </si>
  <si>
    <t>TOTAL</t>
  </si>
  <si>
    <t>Invoice</t>
  </si>
  <si>
    <t>5596-0</t>
  </si>
  <si>
    <t>5408-0</t>
  </si>
  <si>
    <t>5356-1</t>
  </si>
  <si>
    <t>5540-1</t>
  </si>
  <si>
    <t>5518-0</t>
  </si>
  <si>
    <t>5324-1</t>
  </si>
  <si>
    <t>5583-0</t>
  </si>
  <si>
    <t>5408-1</t>
  </si>
  <si>
    <t>5705-0</t>
  </si>
  <si>
    <t>5610-1</t>
  </si>
  <si>
    <t>5385-1</t>
  </si>
  <si>
    <t>FSMSQ-261</t>
  </si>
  <si>
    <t>5731-0</t>
  </si>
  <si>
    <t>5545-2</t>
  </si>
  <si>
    <t>5640-0</t>
  </si>
  <si>
    <t>5621-0</t>
  </si>
  <si>
    <t>5386-1</t>
  </si>
  <si>
    <t>4980-2</t>
  </si>
  <si>
    <t>5683-0</t>
  </si>
  <si>
    <t>4848-1</t>
  </si>
  <si>
    <t>5498-1</t>
  </si>
  <si>
    <t>5606-0</t>
  </si>
  <si>
    <t>FSMSO-205</t>
  </si>
  <si>
    <t>5285-0</t>
  </si>
  <si>
    <t>1245</t>
  </si>
  <si>
    <t>5517-0</t>
  </si>
  <si>
    <t>5702-0</t>
  </si>
  <si>
    <t>5569-0</t>
  </si>
  <si>
    <t>5384-2</t>
  </si>
  <si>
    <t>5545-3</t>
  </si>
  <si>
    <t>5454-2</t>
  </si>
  <si>
    <t>5392-0</t>
  </si>
  <si>
    <t>5697-0</t>
  </si>
  <si>
    <t>5451-0</t>
  </si>
  <si>
    <t>5481-0</t>
  </si>
  <si>
    <t>5641-0</t>
  </si>
  <si>
    <t>5134-0</t>
  </si>
  <si>
    <t>5373-0</t>
  </si>
  <si>
    <t>5641-1</t>
  </si>
  <si>
    <t>5454-1</t>
  </si>
  <si>
    <t>5706-0</t>
  </si>
  <si>
    <t>5666-0</t>
  </si>
  <si>
    <t>5642-1</t>
  </si>
  <si>
    <t>5494-0</t>
  </si>
  <si>
    <t>5591-0</t>
  </si>
  <si>
    <t>5601-0</t>
  </si>
  <si>
    <t>5373-1</t>
  </si>
  <si>
    <t>5431-0</t>
  </si>
  <si>
    <t>5550-0</t>
  </si>
  <si>
    <t>FSMSO-215</t>
  </si>
  <si>
    <t>5390-0</t>
  </si>
  <si>
    <t>5678-0</t>
  </si>
  <si>
    <t>5673-1</t>
  </si>
  <si>
    <t>5538-0</t>
  </si>
  <si>
    <t>FSMSQ-278</t>
  </si>
  <si>
    <t>5592-0</t>
  </si>
  <si>
    <t>5681-0</t>
  </si>
  <si>
    <t>5454-0</t>
  </si>
  <si>
    <t>5642-0</t>
  </si>
  <si>
    <t>4980-1</t>
  </si>
  <si>
    <t>5611-0</t>
  </si>
  <si>
    <t>5375-0</t>
  </si>
  <si>
    <t>5619-0</t>
  </si>
  <si>
    <t>FSMSO-172</t>
  </si>
  <si>
    <t>5389-0</t>
  </si>
  <si>
    <t>5567-0</t>
  </si>
  <si>
    <t>5130-0</t>
  </si>
  <si>
    <t>5319-0</t>
  </si>
  <si>
    <t>4866-0</t>
  </si>
  <si>
    <t>5251-0</t>
  </si>
  <si>
    <t>5536-0</t>
  </si>
  <si>
    <t>FSMSQ-169</t>
  </si>
  <si>
    <t>5516-0</t>
  </si>
  <si>
    <t>FSMSO-072</t>
  </si>
  <si>
    <t>FSMSQ-127</t>
  </si>
  <si>
    <t>5009-0</t>
  </si>
  <si>
    <t>FSMSQ-198</t>
  </si>
  <si>
    <t>5503-0</t>
  </si>
  <si>
    <t>S23026100281</t>
  </si>
  <si>
    <t>PO115348RCL</t>
  </si>
  <si>
    <t>S25025101144</t>
  </si>
  <si>
    <t>S22926100023</t>
  </si>
  <si>
    <t>S22526900001</t>
  </si>
  <si>
    <t>35018620OV1</t>
  </si>
  <si>
    <t>25044654MA1</t>
  </si>
  <si>
    <t>PO115388RCL-1</t>
  </si>
  <si>
    <t>S22026100387</t>
  </si>
  <si>
    <t>S22026900019</t>
  </si>
  <si>
    <t>S22026100076</t>
  </si>
  <si>
    <t>G21726100158</t>
  </si>
  <si>
    <t>S22026100439</t>
  </si>
  <si>
    <t>PO115762RCL</t>
  </si>
  <si>
    <t>90493944OA1</t>
  </si>
  <si>
    <t>90493942OA1</t>
  </si>
  <si>
    <t>S22025900072</t>
  </si>
  <si>
    <t>MD1250938</t>
  </si>
  <si>
    <t>S23026100087</t>
  </si>
  <si>
    <t>HQ1408653J-VX</t>
  </si>
  <si>
    <t>HQ1407931J-LE</t>
  </si>
  <si>
    <t>G22526100199</t>
  </si>
  <si>
    <t>S22925900042</t>
  </si>
  <si>
    <t>HQ1404205J-DR</t>
  </si>
  <si>
    <t>S22926900170</t>
  </si>
  <si>
    <t>S22025900043</t>
  </si>
  <si>
    <t>HQ1402958J-DR</t>
  </si>
  <si>
    <t>PO145244RCL</t>
  </si>
  <si>
    <t>S22726900039</t>
  </si>
  <si>
    <t>LUN10269130S</t>
  </si>
  <si>
    <t>AQU10259183S</t>
  </si>
  <si>
    <t>8716502</t>
  </si>
  <si>
    <t>PO111421RCL</t>
  </si>
  <si>
    <t>S21726100108</t>
  </si>
  <si>
    <t>PO152960RCL</t>
  </si>
  <si>
    <t>PO153086RCL</t>
  </si>
  <si>
    <t>S22926100381</t>
  </si>
  <si>
    <t>S21526900011</t>
  </si>
  <si>
    <t>1701606</t>
  </si>
  <si>
    <t>PO148962RCL</t>
  </si>
  <si>
    <t>PO169444RCL</t>
  </si>
  <si>
    <t>PO169558RCL</t>
  </si>
  <si>
    <t>2600103</t>
  </si>
  <si>
    <t>2903973GRID1</t>
  </si>
  <si>
    <t>HQ1406947J-LE</t>
  </si>
  <si>
    <t>S23926900002</t>
  </si>
  <si>
    <t>S22926900147</t>
  </si>
  <si>
    <t>G46626900046</t>
  </si>
  <si>
    <t>29039374RID1</t>
  </si>
  <si>
    <t>S23626900006</t>
  </si>
  <si>
    <t>HQ1408372J-LE</t>
  </si>
  <si>
    <t>CC1250951</t>
  </si>
  <si>
    <t>54027575UT1</t>
  </si>
  <si>
    <t>90473514ZK4</t>
  </si>
  <si>
    <t>HQ1408437J-LE</t>
  </si>
  <si>
    <t>HQ1406202J-SH</t>
  </si>
  <si>
    <t>S23025900053</t>
  </si>
  <si>
    <t>300502760A1</t>
  </si>
  <si>
    <t>WD1250750</t>
  </si>
  <si>
    <t>19053014EX1</t>
  </si>
  <si>
    <t>T471259351</t>
  </si>
  <si>
    <t>DD1250482</t>
  </si>
  <si>
    <t>S23625100281</t>
  </si>
  <si>
    <t>VD1251116</t>
  </si>
  <si>
    <t xml:space="preserve"> S23225100382</t>
  </si>
  <si>
    <t>M/V CCL Magic:5596-CCL Magic (NC)</t>
  </si>
  <si>
    <t>M/V RCCL Mariner of the Seas:5408-RCCL Mariner OTS (NC)</t>
  </si>
  <si>
    <t>M/V CCL Encounter:5356-CCL Encouter (NC)</t>
  </si>
  <si>
    <t>M/V CCL Dream:5540-CCL Dream (NC)</t>
  </si>
  <si>
    <t>M/V CCL Valor:5518-CCL Valor</t>
  </si>
  <si>
    <t>M/V RCCL Ovation OTS:5324-RCCL Ovation OTS (NC)</t>
  </si>
  <si>
    <t>M/V RCCL Mariner of the Seas:5583-RCCL Mariner OTS (NC)</t>
  </si>
  <si>
    <t>M/V CCL Pride:5705-CCL Pride (NC)</t>
  </si>
  <si>
    <t>M/V CCL Pride:5610-CCL Pride (NC)</t>
  </si>
  <si>
    <t>M/V CCL Pride:5385-CCL Pride</t>
  </si>
  <si>
    <t>M/V CCL Sunrise:FSMSQ-261-CCL Sunrise (NC)</t>
  </si>
  <si>
    <t>M/V CCL Pride:5731-CCL Pride (NC)</t>
  </si>
  <si>
    <t>M/V RCCL Harmony OTS:5545-RCCL Harmony OTS (NC)</t>
  </si>
  <si>
    <t>M/V RCCL Oasis OTS:5640-RCCL Oasis OTS (NC)</t>
  </si>
  <si>
    <t>M/V RCCL Oasis OTS:5621-RCCL Oasis OTS (NC)</t>
  </si>
  <si>
    <t>M/V CCL Pride:5386-CCL Pride (NC)</t>
  </si>
  <si>
    <t>M/V DCL Magic:4980-DCL Magic (NC)</t>
  </si>
  <si>
    <t>Ganserlifte:5683-Ganserlifte Island Princess (NC)</t>
  </si>
  <si>
    <t>M/V CCL Magic:4848-CCL Magic (NC)</t>
  </si>
  <si>
    <t>M/V CCL Costa Venezia:5498-CCL Costa Nevezia (NC)</t>
  </si>
  <si>
    <t>M/V CCL Legend:5606-CCL Legend (NC)</t>
  </si>
  <si>
    <t>M/V CCL Valor:FSMSO-205-CCL Valor (NC)</t>
  </si>
  <si>
    <t>M/V CCL Dream:5285-CCL Dream (NC)</t>
  </si>
  <si>
    <t>Life Floor - Projects</t>
  </si>
  <si>
    <t>M/V CCL Dream:5517-CCL Dream (NC)</t>
  </si>
  <si>
    <t>M/V CCL Dream:5702-CCL Dream (NC)</t>
  </si>
  <si>
    <t>M/V CCL Pride:5569-CCL Pride (NC)</t>
  </si>
  <si>
    <t>M/V CCL Dream:5384-CCL Dream (NC)</t>
  </si>
  <si>
    <t>M/V RCCL Harmony OTS:5454-RCCL Harmony (NC)</t>
  </si>
  <si>
    <t>M/V CCL Freedom:5392-CCL Freedom (NC)</t>
  </si>
  <si>
    <t>M/V NCL Luna:5697-NCL Luna (NC)</t>
  </si>
  <si>
    <t>M/V NCL Aqua:5451-NCL Aqua (NC)</t>
  </si>
  <si>
    <t>MVAS Paradise:5481-MVAS Paradise (NC)</t>
  </si>
  <si>
    <t>M/V RCCL Oasis OTS:5641-RCCL Oasis OTS</t>
  </si>
  <si>
    <t>M/V CCL Sunrise:5134-CCL Sunrise (NC)</t>
  </si>
  <si>
    <t>M/V RCCL Harmony OTS:5373-RCCL Harmony OTS (NC)</t>
  </si>
  <si>
    <t>M/V CCL Dream:5706-CCL Dream (NC)</t>
  </si>
  <si>
    <t>M/V CCL Elation:5666-CCL Elation (NC)</t>
  </si>
  <si>
    <t>M/V CCL Panorama:5642-CCL Panorama (NC)</t>
  </si>
  <si>
    <t>M/V RCCL Liberty OTS:5494-RCCL Liberty (NC)</t>
  </si>
  <si>
    <t>M/V RCCL Voyager OTS:5591-RCCL Voyager OTS (NC)</t>
  </si>
  <si>
    <t>M/V RCCL Liberty OTS:5601-RCCL Liberty OTS (NC)</t>
  </si>
  <si>
    <t>Fincantieri:5431-Fincantieri CCL Valor (NC)</t>
  </si>
  <si>
    <t>M/V RCCL Independence OTS:5550-RCCL Independence OTS (NC)</t>
  </si>
  <si>
    <t>Stefan Scheider:FSMSO-215-Stefan Scheider (NC)</t>
  </si>
  <si>
    <t>M/V CCL Legend:5390-CCL Legend (NC)</t>
  </si>
  <si>
    <t>M/V CCL Costa Venezia:5678-CCL Costa Venezia (NC)</t>
  </si>
  <si>
    <t>M/V CCL Dream:5673-CCL Dream</t>
  </si>
  <si>
    <t>Vortex:5538-Vortex RCCL Utopia OTS (NC)</t>
  </si>
  <si>
    <t>M/V HAL Zuiderdam:FSMSQ-278-HAL Zuiderdam (NC)</t>
  </si>
  <si>
    <t>M/V RCCL Independence OTS:5592-RCCL Independence OTS (NC)</t>
  </si>
  <si>
    <t>M/V CCL Panorama:5681-CCL Panorama (NC)</t>
  </si>
  <si>
    <t>M/V CCL Legend:5611-CCL Legend (NC)</t>
  </si>
  <si>
    <t>M/V DCL Castaway Island:5375-DCL Castaway Island (NC)</t>
  </si>
  <si>
    <t>M/V RCCL Utopia OTS:5619-RCCL Utopia OTS (NC)</t>
  </si>
  <si>
    <t>RCI Legend OTS:FSMSO-172-RCI Legend OTS (NC)</t>
  </si>
  <si>
    <t>M/V CCL Legend:5389-CCL Legend (NC)</t>
  </si>
  <si>
    <t>M/V CCL Sunshine:5567-CCL Sunshine (NC)</t>
  </si>
  <si>
    <t>M/V CCL Magic:5130-CCL Magic (NC)</t>
  </si>
  <si>
    <t>M/V DCL Adventure:5319-DCL Adventure (NC)</t>
  </si>
  <si>
    <t>M/V DCL Adventure:4866-DCL Adventure (NC)</t>
  </si>
  <si>
    <t>M/V DCL Adventure:5251-DCL Adventure (NC)</t>
  </si>
  <si>
    <t>M/V RCCL Oasis OTS:5536-RCCL Oasis OTS (NC)</t>
  </si>
  <si>
    <t>M/V DCL Wonder:FSMSQ-169-DCL Wonder (NC)</t>
  </si>
  <si>
    <t>M/V RCCL Explorer OTS:5516-RCCL Explorer OTS (NC)</t>
  </si>
  <si>
    <t>M/V HAL Eurodam:FSMSO-072-HAL Eurodam (NC)</t>
  </si>
  <si>
    <t>M/V DCL Dream:FSMSQ-127-DCL Dream (NC)</t>
  </si>
  <si>
    <t>M/V CCL Panorama:5009-CCL Panorama (NC)</t>
  </si>
  <si>
    <t>M/V DCL Wish:FSMSQ-198-DCL Wish (NC)</t>
  </si>
  <si>
    <t>M/V CCL VISTA:5503-CCL Vista (NC)</t>
  </si>
  <si>
    <t>Net 30</t>
  </si>
  <si>
    <t>Net 60</t>
  </si>
  <si>
    <t>Net 45</t>
  </si>
  <si>
    <t>Due on Delivery</t>
  </si>
  <si>
    <t>Skyward</t>
  </si>
  <si>
    <t>Aquatec</t>
  </si>
  <si>
    <t>Parts</t>
  </si>
  <si>
    <t>ADA</t>
  </si>
  <si>
    <t>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</si>
</sst>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;\-#,##0.00"/>
    <numFmt numFmtId="166" formatCode="#,##0;\-#,##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6" fontId="1" fillId="0" borderId="0" xfId="0" applyNumberFormat="1" applyFont="1"/>
    <xf numFmtId="166" fontId="2" fillId="0" borderId="0" xfId="0" applyNumberFormat="1" applyFont="1"/>
    <xf numFmtId="165" fontId="2" fillId="0" borderId="3" xfId="0" applyNumberFormat="1" applyFont="1" applyBorder="1"/>
    <xf numFmtId="165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5E1C02CA-BB6F-4DB6-B536-3090FB0E9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160D08E-D5B2-4F5D-85B1-CD9C1D8FE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133350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133350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6C01-3A7B-42D5-ADCB-A041996A4658}">
  <dimension ref="B1:C40"/>
  <sheetViews>
    <sheetView showGridLines="0" zoomScale="84" zoomScaleNormal="84" workbookViewId="0"/>
  </sheetViews>
  <sheetFormatPr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D3F7-6B35-4129-B5B7-E15D9D303DCE}">
  <sheetPr codeName="Sheet1"/>
  <dimension ref="A1:V91"/>
  <sheetViews>
    <sheetView tabSelected="1" workbookViewId="0">
      <pane xSplit="1" ySplit="1" topLeftCell="B64" activePane="bottomRight" state="frozenSplit"/>
      <selection pane="topRight" activeCell="B1" sqref="B1"/>
      <selection pane="bottomLeft" activeCell="A2" sqref="A2"/>
      <selection pane="bottomRight" activeCell="V87" sqref="V87"/>
    </sheetView>
  </sheetViews>
  <sheetFormatPr defaultRowHeight="15" x14ac:dyDescent="0.25"/>
  <cols>
    <col min="1" max="1" width="9" bestFit="1" customWidth="1"/>
    <col min="2" max="3" width="2.28515625" customWidth="1"/>
    <col min="4" max="4" width="5.140625" bestFit="1" customWidth="1"/>
    <col min="5" max="5" width="2.28515625" customWidth="1"/>
    <col min="6" max="6" width="9" bestFit="1" customWidth="1"/>
    <col min="7" max="7" width="2.28515625" customWidth="1"/>
    <col min="8" max="8" width="8.7109375" bestFit="1" customWidth="1"/>
    <col min="9" max="9" width="2.28515625" customWidth="1"/>
    <col min="10" max="10" width="11.5703125" bestFit="1" customWidth="1"/>
    <col min="11" max="11" width="2.28515625" customWidth="1"/>
    <col min="12" max="12" width="48.28515625" bestFit="1" customWidth="1"/>
    <col min="13" max="13" width="2.28515625" customWidth="1"/>
    <col min="14" max="14" width="10.7109375" bestFit="1" customWidth="1"/>
    <col min="15" max="15" width="2.28515625" customWidth="1"/>
    <col min="16" max="16" width="9" bestFit="1" customWidth="1"/>
    <col min="17" max="17" width="2.28515625" customWidth="1"/>
    <col min="18" max="18" width="6.28515625" bestFit="1" customWidth="1"/>
    <col min="19" max="19" width="2.28515625" customWidth="1"/>
    <col min="20" max="20" width="4.85546875" bestFit="1" customWidth="1"/>
    <col min="21" max="21" width="2.28515625" customWidth="1"/>
    <col min="22" max="22" width="10.7109375" bestFit="1" customWidth="1"/>
  </cols>
  <sheetData>
    <row r="1" spans="1:22" s="15" customFormat="1" ht="15.75" thickBot="1" x14ac:dyDescent="0.3">
      <c r="A1" s="13"/>
      <c r="B1" s="13"/>
      <c r="C1" s="13"/>
      <c r="D1" s="14" t="s">
        <v>0</v>
      </c>
      <c r="E1" s="13"/>
      <c r="F1" s="14" t="s">
        <v>1</v>
      </c>
      <c r="G1" s="13"/>
      <c r="H1" s="14" t="s">
        <v>2</v>
      </c>
      <c r="I1" s="13"/>
      <c r="J1" s="14" t="s">
        <v>3</v>
      </c>
      <c r="K1" s="13"/>
      <c r="L1" s="14" t="s">
        <v>4</v>
      </c>
      <c r="M1" s="13"/>
      <c r="N1" s="14" t="s">
        <v>5</v>
      </c>
      <c r="O1" s="13"/>
      <c r="P1" s="14" t="s">
        <v>6</v>
      </c>
      <c r="Q1" s="13"/>
      <c r="R1" s="14" t="s">
        <v>7</v>
      </c>
      <c r="S1" s="13"/>
      <c r="T1" s="14" t="s">
        <v>8</v>
      </c>
      <c r="U1" s="13"/>
      <c r="V1" s="14" t="s">
        <v>9</v>
      </c>
    </row>
    <row r="2" spans="1:22" ht="15.75" thickTop="1" x14ac:dyDescent="0.25">
      <c r="A2" s="1" t="s">
        <v>10</v>
      </c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8"/>
      <c r="U2" s="1"/>
      <c r="V2" s="3"/>
    </row>
    <row r="3" spans="1:22" x14ac:dyDescent="0.25">
      <c r="A3" s="4"/>
      <c r="B3" s="4"/>
      <c r="C3" s="4"/>
      <c r="D3" s="4" t="s">
        <v>21</v>
      </c>
      <c r="E3" s="4"/>
      <c r="F3" s="5">
        <v>46112</v>
      </c>
      <c r="G3" s="4"/>
      <c r="H3" s="4" t="s">
        <v>22</v>
      </c>
      <c r="I3" s="4"/>
      <c r="J3" s="4" t="s">
        <v>100</v>
      </c>
      <c r="K3" s="4"/>
      <c r="L3" s="4" t="s">
        <v>165</v>
      </c>
      <c r="M3" s="4"/>
      <c r="N3" s="4" t="s">
        <v>235</v>
      </c>
      <c r="O3" s="4"/>
      <c r="P3" s="5">
        <v>46142</v>
      </c>
      <c r="Q3" s="4"/>
      <c r="R3" s="4" t="s">
        <v>239</v>
      </c>
      <c r="S3" s="4"/>
      <c r="T3" s="9"/>
      <c r="U3" s="4"/>
      <c r="V3" s="6">
        <v>36712</v>
      </c>
    </row>
    <row r="4" spans="1:22" x14ac:dyDescent="0.25">
      <c r="A4" s="4"/>
      <c r="B4" s="4"/>
      <c r="C4" s="4"/>
      <c r="D4" s="4" t="s">
        <v>21</v>
      </c>
      <c r="E4" s="4"/>
      <c r="F4" s="5">
        <v>46083</v>
      </c>
      <c r="G4" s="4"/>
      <c r="H4" s="4" t="s">
        <v>23</v>
      </c>
      <c r="I4" s="4"/>
      <c r="J4" s="4" t="s">
        <v>101</v>
      </c>
      <c r="K4" s="4"/>
      <c r="L4" s="4" t="s">
        <v>166</v>
      </c>
      <c r="M4" s="4"/>
      <c r="N4" s="4" t="s">
        <v>236</v>
      </c>
      <c r="O4" s="4"/>
      <c r="P4" s="5">
        <v>46143</v>
      </c>
      <c r="Q4" s="4"/>
      <c r="R4" s="4" t="s">
        <v>240</v>
      </c>
      <c r="S4" s="4"/>
      <c r="T4" s="9"/>
      <c r="U4" s="4"/>
      <c r="V4" s="6">
        <v>89198</v>
      </c>
    </row>
    <row r="5" spans="1:22" x14ac:dyDescent="0.25">
      <c r="A5" s="4"/>
      <c r="B5" s="4"/>
      <c r="C5" s="4"/>
      <c r="D5" s="4" t="s">
        <v>21</v>
      </c>
      <c r="E5" s="4"/>
      <c r="F5" s="5">
        <v>46083</v>
      </c>
      <c r="G5" s="4"/>
      <c r="H5" s="4" t="s">
        <v>24</v>
      </c>
      <c r="I5" s="4"/>
      <c r="J5" s="4" t="s">
        <v>102</v>
      </c>
      <c r="K5" s="4"/>
      <c r="L5" s="4" t="s">
        <v>167</v>
      </c>
      <c r="M5" s="4"/>
      <c r="N5" s="4" t="s">
        <v>236</v>
      </c>
      <c r="O5" s="4"/>
      <c r="P5" s="5">
        <v>46143</v>
      </c>
      <c r="Q5" s="4"/>
      <c r="R5" s="4" t="s">
        <v>240</v>
      </c>
      <c r="S5" s="4"/>
      <c r="T5" s="9"/>
      <c r="U5" s="4"/>
      <c r="V5" s="6">
        <v>171040</v>
      </c>
    </row>
    <row r="6" spans="1:22" x14ac:dyDescent="0.25">
      <c r="A6" s="4"/>
      <c r="B6" s="4"/>
      <c r="C6" s="4"/>
      <c r="D6" s="4" t="s">
        <v>21</v>
      </c>
      <c r="E6" s="4"/>
      <c r="F6" s="5">
        <v>46113</v>
      </c>
      <c r="G6" s="4"/>
      <c r="H6" s="4" t="s">
        <v>25</v>
      </c>
      <c r="I6" s="4"/>
      <c r="J6" s="4" t="s">
        <v>103</v>
      </c>
      <c r="K6" s="4"/>
      <c r="L6" s="4" t="s">
        <v>168</v>
      </c>
      <c r="M6" s="4"/>
      <c r="N6" s="4" t="s">
        <v>235</v>
      </c>
      <c r="O6" s="4"/>
      <c r="P6" s="5">
        <v>46143</v>
      </c>
      <c r="Q6" s="4"/>
      <c r="R6" s="4" t="s">
        <v>239</v>
      </c>
      <c r="S6" s="4"/>
      <c r="T6" s="9"/>
      <c r="U6" s="4"/>
      <c r="V6" s="6">
        <v>79330</v>
      </c>
    </row>
    <row r="7" spans="1:22" x14ac:dyDescent="0.25">
      <c r="A7" s="4"/>
      <c r="B7" s="4"/>
      <c r="C7" s="4"/>
      <c r="D7" s="4" t="s">
        <v>21</v>
      </c>
      <c r="E7" s="4"/>
      <c r="F7" s="5">
        <v>46113</v>
      </c>
      <c r="G7" s="4"/>
      <c r="H7" s="4" t="s">
        <v>26</v>
      </c>
      <c r="I7" s="4"/>
      <c r="J7" s="4" t="s">
        <v>104</v>
      </c>
      <c r="K7" s="4"/>
      <c r="L7" s="4" t="s">
        <v>169</v>
      </c>
      <c r="M7" s="4"/>
      <c r="N7" s="4" t="s">
        <v>235</v>
      </c>
      <c r="O7" s="4"/>
      <c r="P7" s="5">
        <v>46143</v>
      </c>
      <c r="Q7" s="4"/>
      <c r="R7" s="4" t="s">
        <v>239</v>
      </c>
      <c r="S7" s="4"/>
      <c r="T7" s="9"/>
      <c r="U7" s="4"/>
      <c r="V7" s="6">
        <v>30397</v>
      </c>
    </row>
    <row r="8" spans="1:22" x14ac:dyDescent="0.25">
      <c r="A8" s="4"/>
      <c r="B8" s="4"/>
      <c r="C8" s="4"/>
      <c r="D8" s="4" t="s">
        <v>21</v>
      </c>
      <c r="E8" s="4"/>
      <c r="F8" s="5">
        <v>46114</v>
      </c>
      <c r="G8" s="4"/>
      <c r="H8" s="4" t="s">
        <v>27</v>
      </c>
      <c r="I8" s="4"/>
      <c r="J8" s="4" t="s">
        <v>105</v>
      </c>
      <c r="K8" s="4"/>
      <c r="L8" s="4" t="s">
        <v>170</v>
      </c>
      <c r="M8" s="4"/>
      <c r="N8" s="4" t="s">
        <v>235</v>
      </c>
      <c r="O8" s="4"/>
      <c r="P8" s="5">
        <v>46144</v>
      </c>
      <c r="Q8" s="4"/>
      <c r="R8" s="4" t="s">
        <v>239</v>
      </c>
      <c r="S8" s="4"/>
      <c r="T8" s="9"/>
      <c r="U8" s="4"/>
      <c r="V8" s="6">
        <v>86220</v>
      </c>
    </row>
    <row r="9" spans="1:22" x14ac:dyDescent="0.25">
      <c r="A9" s="4"/>
      <c r="B9" s="4"/>
      <c r="C9" s="4"/>
      <c r="D9" s="4" t="s">
        <v>21</v>
      </c>
      <c r="E9" s="4"/>
      <c r="F9" s="5">
        <v>46115</v>
      </c>
      <c r="G9" s="4"/>
      <c r="H9" s="4" t="s">
        <v>28</v>
      </c>
      <c r="I9" s="4"/>
      <c r="J9" s="4" t="s">
        <v>106</v>
      </c>
      <c r="K9" s="4"/>
      <c r="L9" s="4" t="s">
        <v>171</v>
      </c>
      <c r="M9" s="4"/>
      <c r="N9" s="4" t="s">
        <v>235</v>
      </c>
      <c r="O9" s="4"/>
      <c r="P9" s="5">
        <v>46145</v>
      </c>
      <c r="Q9" s="4"/>
      <c r="R9" s="4" t="s">
        <v>240</v>
      </c>
      <c r="S9" s="4"/>
      <c r="T9" s="9"/>
      <c r="U9" s="4"/>
      <c r="V9" s="6">
        <v>42755</v>
      </c>
    </row>
    <row r="10" spans="1:22" x14ac:dyDescent="0.25">
      <c r="A10" s="4"/>
      <c r="B10" s="4"/>
      <c r="C10" s="4"/>
      <c r="D10" s="4" t="s">
        <v>21</v>
      </c>
      <c r="E10" s="4"/>
      <c r="F10" s="5">
        <v>46115</v>
      </c>
      <c r="G10" s="4"/>
      <c r="H10" s="4" t="s">
        <v>29</v>
      </c>
      <c r="I10" s="4"/>
      <c r="J10" s="4" t="s">
        <v>107</v>
      </c>
      <c r="K10" s="4"/>
      <c r="L10" s="4" t="s">
        <v>166</v>
      </c>
      <c r="M10" s="4"/>
      <c r="N10" s="4" t="s">
        <v>235</v>
      </c>
      <c r="O10" s="4"/>
      <c r="P10" s="5">
        <v>46145</v>
      </c>
      <c r="Q10" s="4"/>
      <c r="R10" s="4" t="s">
        <v>240</v>
      </c>
      <c r="S10" s="4"/>
      <c r="T10" s="9"/>
      <c r="U10" s="4"/>
      <c r="V10" s="6">
        <v>237080</v>
      </c>
    </row>
    <row r="11" spans="1:22" x14ac:dyDescent="0.25">
      <c r="A11" s="4"/>
      <c r="B11" s="4"/>
      <c r="C11" s="4"/>
      <c r="D11" s="4" t="s">
        <v>21</v>
      </c>
      <c r="E11" s="4"/>
      <c r="F11" s="5">
        <v>46118</v>
      </c>
      <c r="G11" s="4"/>
      <c r="H11" s="4" t="s">
        <v>30</v>
      </c>
      <c r="I11" s="4"/>
      <c r="J11" s="4" t="s">
        <v>108</v>
      </c>
      <c r="K11" s="4"/>
      <c r="L11" s="4" t="s">
        <v>172</v>
      </c>
      <c r="M11" s="4"/>
      <c r="N11" s="4" t="s">
        <v>235</v>
      </c>
      <c r="O11" s="4"/>
      <c r="P11" s="5">
        <v>46148</v>
      </c>
      <c r="Q11" s="4"/>
      <c r="R11" s="4" t="s">
        <v>239</v>
      </c>
      <c r="S11" s="4"/>
      <c r="T11" s="9"/>
      <c r="U11" s="4"/>
      <c r="V11" s="6">
        <v>91781</v>
      </c>
    </row>
    <row r="12" spans="1:22" x14ac:dyDescent="0.25">
      <c r="A12" s="4"/>
      <c r="B12" s="4"/>
      <c r="C12" s="4"/>
      <c r="D12" s="4" t="s">
        <v>21</v>
      </c>
      <c r="E12" s="4"/>
      <c r="F12" s="5">
        <v>46118</v>
      </c>
      <c r="G12" s="4"/>
      <c r="H12" s="4" t="s">
        <v>31</v>
      </c>
      <c r="I12" s="4"/>
      <c r="J12" s="4" t="s">
        <v>109</v>
      </c>
      <c r="K12" s="4"/>
      <c r="L12" s="4" t="s">
        <v>173</v>
      </c>
      <c r="M12" s="4"/>
      <c r="N12" s="4" t="s">
        <v>235</v>
      </c>
      <c r="O12" s="4"/>
      <c r="P12" s="5">
        <v>46148</v>
      </c>
      <c r="Q12" s="4"/>
      <c r="R12" s="4" t="s">
        <v>239</v>
      </c>
      <c r="S12" s="4"/>
      <c r="T12" s="9"/>
      <c r="U12" s="4"/>
      <c r="V12" s="6">
        <v>52450</v>
      </c>
    </row>
    <row r="13" spans="1:22" x14ac:dyDescent="0.25">
      <c r="A13" s="4"/>
      <c r="B13" s="4"/>
      <c r="C13" s="4"/>
      <c r="D13" s="4" t="s">
        <v>21</v>
      </c>
      <c r="E13" s="4"/>
      <c r="F13" s="5">
        <v>46118</v>
      </c>
      <c r="G13" s="4"/>
      <c r="H13" s="4" t="s">
        <v>32</v>
      </c>
      <c r="I13" s="4"/>
      <c r="J13" s="4" t="s">
        <v>110</v>
      </c>
      <c r="K13" s="4"/>
      <c r="L13" s="4" t="s">
        <v>174</v>
      </c>
      <c r="M13" s="4"/>
      <c r="N13" s="4" t="s">
        <v>235</v>
      </c>
      <c r="O13" s="4"/>
      <c r="P13" s="5">
        <v>46148</v>
      </c>
      <c r="Q13" s="4"/>
      <c r="R13" s="4" t="s">
        <v>240</v>
      </c>
      <c r="S13" s="4"/>
      <c r="T13" s="9"/>
      <c r="U13" s="4"/>
      <c r="V13" s="6">
        <v>340205</v>
      </c>
    </row>
    <row r="14" spans="1:22" x14ac:dyDescent="0.25">
      <c r="A14" s="4"/>
      <c r="B14" s="4"/>
      <c r="C14" s="4"/>
      <c r="D14" s="4" t="s">
        <v>21</v>
      </c>
      <c r="E14" s="4"/>
      <c r="F14" s="5">
        <v>46118</v>
      </c>
      <c r="G14" s="4"/>
      <c r="H14" s="4" t="s">
        <v>33</v>
      </c>
      <c r="I14" s="4"/>
      <c r="J14" s="4" t="s">
        <v>111</v>
      </c>
      <c r="K14" s="4"/>
      <c r="L14" s="4" t="s">
        <v>175</v>
      </c>
      <c r="M14" s="4"/>
      <c r="N14" s="4" t="s">
        <v>235</v>
      </c>
      <c r="O14" s="4"/>
      <c r="P14" s="5">
        <v>46148</v>
      </c>
      <c r="Q14" s="4"/>
      <c r="R14" s="4" t="s">
        <v>241</v>
      </c>
      <c r="S14" s="4"/>
      <c r="T14" s="9"/>
      <c r="U14" s="4"/>
      <c r="V14" s="6">
        <v>3499.69</v>
      </c>
    </row>
    <row r="15" spans="1:22" x14ac:dyDescent="0.25">
      <c r="A15" s="4"/>
      <c r="B15" s="4"/>
      <c r="C15" s="4"/>
      <c r="D15" s="4" t="s">
        <v>21</v>
      </c>
      <c r="E15" s="4"/>
      <c r="F15" s="5">
        <v>46118</v>
      </c>
      <c r="G15" s="4"/>
      <c r="H15" s="4" t="s">
        <v>34</v>
      </c>
      <c r="I15" s="4"/>
      <c r="J15" s="4" t="s">
        <v>112</v>
      </c>
      <c r="K15" s="4"/>
      <c r="L15" s="4" t="s">
        <v>176</v>
      </c>
      <c r="M15" s="4"/>
      <c r="N15" s="4" t="s">
        <v>235</v>
      </c>
      <c r="O15" s="4"/>
      <c r="P15" s="5">
        <v>46148</v>
      </c>
      <c r="Q15" s="4"/>
      <c r="R15" s="4" t="s">
        <v>239</v>
      </c>
      <c r="S15" s="4"/>
      <c r="T15" s="9"/>
      <c r="U15" s="4"/>
      <c r="V15" s="6">
        <v>50000</v>
      </c>
    </row>
    <row r="16" spans="1:22" x14ac:dyDescent="0.25">
      <c r="A16" s="4"/>
      <c r="B16" s="4"/>
      <c r="C16" s="4"/>
      <c r="D16" s="4" t="s">
        <v>21</v>
      </c>
      <c r="E16" s="4"/>
      <c r="F16" s="5">
        <v>46118</v>
      </c>
      <c r="G16" s="4"/>
      <c r="H16" s="4" t="s">
        <v>35</v>
      </c>
      <c r="I16" s="4"/>
      <c r="J16" s="4" t="s">
        <v>113</v>
      </c>
      <c r="K16" s="4"/>
      <c r="L16" s="4" t="s">
        <v>177</v>
      </c>
      <c r="M16" s="4"/>
      <c r="N16" s="4" t="s">
        <v>235</v>
      </c>
      <c r="O16" s="4"/>
      <c r="P16" s="5">
        <v>46148</v>
      </c>
      <c r="Q16" s="4"/>
      <c r="R16" s="4" t="s">
        <v>240</v>
      </c>
      <c r="S16" s="4"/>
      <c r="T16" s="9"/>
      <c r="U16" s="4"/>
      <c r="V16" s="6">
        <v>59510.400000000001</v>
      </c>
    </row>
    <row r="17" spans="1:22" x14ac:dyDescent="0.25">
      <c r="A17" s="4"/>
      <c r="B17" s="4"/>
      <c r="C17" s="4"/>
      <c r="D17" s="4" t="s">
        <v>21</v>
      </c>
      <c r="E17" s="4"/>
      <c r="F17" s="5">
        <v>46119</v>
      </c>
      <c r="G17" s="4"/>
      <c r="H17" s="4" t="s">
        <v>36</v>
      </c>
      <c r="I17" s="4"/>
      <c r="J17" s="4" t="s">
        <v>114</v>
      </c>
      <c r="K17" s="4"/>
      <c r="L17" s="4" t="s">
        <v>178</v>
      </c>
      <c r="M17" s="4"/>
      <c r="N17" s="4" t="s">
        <v>235</v>
      </c>
      <c r="O17" s="4"/>
      <c r="P17" s="5">
        <v>46149</v>
      </c>
      <c r="Q17" s="4"/>
      <c r="R17" s="4" t="s">
        <v>240</v>
      </c>
      <c r="S17" s="4"/>
      <c r="T17" s="9"/>
      <c r="U17" s="4"/>
      <c r="V17" s="6">
        <v>34523</v>
      </c>
    </row>
    <row r="18" spans="1:22" x14ac:dyDescent="0.25">
      <c r="A18" s="4"/>
      <c r="B18" s="4"/>
      <c r="C18" s="4"/>
      <c r="D18" s="4" t="s">
        <v>21</v>
      </c>
      <c r="E18" s="4"/>
      <c r="F18" s="5">
        <v>46119</v>
      </c>
      <c r="G18" s="4"/>
      <c r="H18" s="4" t="s">
        <v>37</v>
      </c>
      <c r="I18" s="4"/>
      <c r="J18" s="4" t="s">
        <v>115</v>
      </c>
      <c r="K18" s="4"/>
      <c r="L18" s="4" t="s">
        <v>179</v>
      </c>
      <c r="M18" s="4"/>
      <c r="N18" s="4" t="s">
        <v>235</v>
      </c>
      <c r="O18" s="4"/>
      <c r="P18" s="5">
        <v>46149</v>
      </c>
      <c r="Q18" s="4"/>
      <c r="R18" s="4" t="s">
        <v>240</v>
      </c>
      <c r="S18" s="4"/>
      <c r="T18" s="9"/>
      <c r="U18" s="4"/>
      <c r="V18" s="6">
        <v>22867</v>
      </c>
    </row>
    <row r="19" spans="1:22" x14ac:dyDescent="0.25">
      <c r="A19" s="4"/>
      <c r="B19" s="4"/>
      <c r="C19" s="4"/>
      <c r="D19" s="4" t="s">
        <v>21</v>
      </c>
      <c r="E19" s="4"/>
      <c r="F19" s="5">
        <v>46120</v>
      </c>
      <c r="G19" s="4"/>
      <c r="H19" s="4" t="s">
        <v>38</v>
      </c>
      <c r="I19" s="4"/>
      <c r="J19" s="4" t="s">
        <v>116</v>
      </c>
      <c r="K19" s="4"/>
      <c r="L19" s="4" t="s">
        <v>180</v>
      </c>
      <c r="M19" s="4"/>
      <c r="N19" s="4" t="s">
        <v>235</v>
      </c>
      <c r="O19" s="4"/>
      <c r="P19" s="5">
        <v>46150</v>
      </c>
      <c r="Q19" s="4"/>
      <c r="R19" s="4" t="s">
        <v>240</v>
      </c>
      <c r="S19" s="4"/>
      <c r="T19" s="9"/>
      <c r="U19" s="4"/>
      <c r="V19" s="6">
        <v>49120</v>
      </c>
    </row>
    <row r="20" spans="1:22" x14ac:dyDescent="0.25">
      <c r="A20" s="4"/>
      <c r="B20" s="4"/>
      <c r="C20" s="4"/>
      <c r="D20" s="4" t="s">
        <v>21</v>
      </c>
      <c r="E20" s="4"/>
      <c r="F20" s="5">
        <v>46120</v>
      </c>
      <c r="G20" s="4"/>
      <c r="H20" s="4" t="s">
        <v>39</v>
      </c>
      <c r="I20" s="4"/>
      <c r="J20" s="4" t="s">
        <v>117</v>
      </c>
      <c r="K20" s="4"/>
      <c r="L20" s="4" t="s">
        <v>181</v>
      </c>
      <c r="M20" s="4"/>
      <c r="N20" s="4" t="s">
        <v>235</v>
      </c>
      <c r="O20" s="4"/>
      <c r="P20" s="5">
        <v>46150</v>
      </c>
      <c r="Q20" s="4"/>
      <c r="R20" s="4" t="s">
        <v>239</v>
      </c>
      <c r="S20" s="4"/>
      <c r="T20" s="9"/>
      <c r="U20" s="4"/>
      <c r="V20" s="6">
        <v>16732</v>
      </c>
    </row>
    <row r="21" spans="1:22" x14ac:dyDescent="0.25">
      <c r="A21" s="4"/>
      <c r="B21" s="4"/>
      <c r="C21" s="4"/>
      <c r="D21" s="4" t="s">
        <v>21</v>
      </c>
      <c r="E21" s="4"/>
      <c r="F21" s="5">
        <v>46120</v>
      </c>
      <c r="G21" s="4"/>
      <c r="H21" s="4" t="s">
        <v>40</v>
      </c>
      <c r="I21" s="4"/>
      <c r="J21" s="4"/>
      <c r="K21" s="4"/>
      <c r="L21" s="4" t="s">
        <v>182</v>
      </c>
      <c r="M21" s="4"/>
      <c r="N21" s="4" t="s">
        <v>235</v>
      </c>
      <c r="O21" s="4"/>
      <c r="P21" s="5">
        <v>46150</v>
      </c>
      <c r="Q21" s="4"/>
      <c r="R21" s="4" t="s">
        <v>242</v>
      </c>
      <c r="S21" s="4"/>
      <c r="T21" s="9"/>
      <c r="U21" s="4"/>
      <c r="V21" s="6">
        <v>10404.959999999999</v>
      </c>
    </row>
    <row r="22" spans="1:22" x14ac:dyDescent="0.25">
      <c r="A22" s="4"/>
      <c r="B22" s="4"/>
      <c r="C22" s="4"/>
      <c r="D22" s="4" t="s">
        <v>21</v>
      </c>
      <c r="E22" s="4"/>
      <c r="F22" s="5">
        <v>46122</v>
      </c>
      <c r="G22" s="4"/>
      <c r="H22" s="4" t="s">
        <v>41</v>
      </c>
      <c r="I22" s="4"/>
      <c r="J22" s="4" t="s">
        <v>118</v>
      </c>
      <c r="K22" s="4"/>
      <c r="L22" s="4" t="s">
        <v>183</v>
      </c>
      <c r="M22" s="4"/>
      <c r="N22" s="4" t="s">
        <v>235</v>
      </c>
      <c r="O22" s="4"/>
      <c r="P22" s="5">
        <v>46152</v>
      </c>
      <c r="Q22" s="4"/>
      <c r="R22" s="4" t="s">
        <v>240</v>
      </c>
      <c r="S22" s="4"/>
      <c r="T22" s="9"/>
      <c r="U22" s="4"/>
      <c r="V22" s="6">
        <v>238182</v>
      </c>
    </row>
    <row r="23" spans="1:22" x14ac:dyDescent="0.25">
      <c r="A23" s="4"/>
      <c r="B23" s="4"/>
      <c r="C23" s="4"/>
      <c r="D23" s="4" t="s">
        <v>21</v>
      </c>
      <c r="E23" s="4"/>
      <c r="F23" s="5">
        <v>46094</v>
      </c>
      <c r="G23" s="4"/>
      <c r="H23" s="4" t="s">
        <v>42</v>
      </c>
      <c r="I23" s="4"/>
      <c r="J23" s="4" t="s">
        <v>119</v>
      </c>
      <c r="K23" s="4"/>
      <c r="L23" s="4" t="s">
        <v>184</v>
      </c>
      <c r="M23" s="4"/>
      <c r="N23" s="4" t="s">
        <v>236</v>
      </c>
      <c r="O23" s="4"/>
      <c r="P23" s="5">
        <v>46154</v>
      </c>
      <c r="Q23" s="4"/>
      <c r="R23" s="4" t="s">
        <v>240</v>
      </c>
      <c r="S23" s="4"/>
      <c r="T23" s="9"/>
      <c r="U23" s="4"/>
      <c r="V23" s="6">
        <v>28795</v>
      </c>
    </row>
    <row r="24" spans="1:22" x14ac:dyDescent="0.25">
      <c r="A24" s="4"/>
      <c r="B24" s="4"/>
      <c r="C24" s="4"/>
      <c r="D24" s="4" t="s">
        <v>21</v>
      </c>
      <c r="E24" s="4"/>
      <c r="F24" s="5">
        <v>46125</v>
      </c>
      <c r="G24" s="4"/>
      <c r="H24" s="4" t="s">
        <v>43</v>
      </c>
      <c r="I24" s="4"/>
      <c r="J24" s="4" t="s">
        <v>120</v>
      </c>
      <c r="K24" s="4"/>
      <c r="L24" s="4" t="s">
        <v>185</v>
      </c>
      <c r="M24" s="4"/>
      <c r="N24" s="4" t="s">
        <v>235</v>
      </c>
      <c r="O24" s="4"/>
      <c r="P24" s="5">
        <v>46155</v>
      </c>
      <c r="Q24" s="4"/>
      <c r="R24" s="4" t="s">
        <v>242</v>
      </c>
      <c r="S24" s="4"/>
      <c r="T24" s="9"/>
      <c r="U24" s="4"/>
      <c r="V24" s="6">
        <v>3191.55</v>
      </c>
    </row>
    <row r="25" spans="1:22" x14ac:dyDescent="0.25">
      <c r="A25" s="4"/>
      <c r="B25" s="4"/>
      <c r="C25" s="4"/>
      <c r="D25" s="4" t="s">
        <v>21</v>
      </c>
      <c r="E25" s="4"/>
      <c r="F25" s="5">
        <v>46097</v>
      </c>
      <c r="G25" s="4"/>
      <c r="H25" s="4" t="s">
        <v>44</v>
      </c>
      <c r="I25" s="4"/>
      <c r="J25" s="4" t="s">
        <v>121</v>
      </c>
      <c r="K25" s="4"/>
      <c r="L25" s="4" t="s">
        <v>186</v>
      </c>
      <c r="M25" s="4"/>
      <c r="N25" s="4" t="s">
        <v>236</v>
      </c>
      <c r="O25" s="4"/>
      <c r="P25" s="5">
        <v>46157</v>
      </c>
      <c r="Q25" s="4"/>
      <c r="R25" s="4" t="s">
        <v>241</v>
      </c>
      <c r="S25" s="4"/>
      <c r="T25" s="9"/>
      <c r="U25" s="4"/>
      <c r="V25" s="6">
        <v>4109.16</v>
      </c>
    </row>
    <row r="26" spans="1:22" x14ac:dyDescent="0.25">
      <c r="A26" s="4"/>
      <c r="B26" s="4"/>
      <c r="C26" s="4"/>
      <c r="D26" s="4" t="s">
        <v>21</v>
      </c>
      <c r="E26" s="4"/>
      <c r="F26" s="5">
        <v>46127</v>
      </c>
      <c r="G26" s="4"/>
      <c r="H26" s="4" t="s">
        <v>45</v>
      </c>
      <c r="I26" s="4"/>
      <c r="J26" s="4" t="s">
        <v>122</v>
      </c>
      <c r="K26" s="4"/>
      <c r="L26" s="4" t="s">
        <v>187</v>
      </c>
      <c r="M26" s="4"/>
      <c r="N26" s="4" t="s">
        <v>235</v>
      </c>
      <c r="O26" s="4"/>
      <c r="P26" s="5">
        <v>46157</v>
      </c>
      <c r="Q26" s="4"/>
      <c r="R26" s="4" t="s">
        <v>242</v>
      </c>
      <c r="S26" s="4"/>
      <c r="T26" s="9"/>
      <c r="U26" s="4"/>
      <c r="V26" s="6">
        <v>31086</v>
      </c>
    </row>
    <row r="27" spans="1:22" x14ac:dyDescent="0.25">
      <c r="A27" s="4"/>
      <c r="B27" s="4"/>
      <c r="C27" s="4"/>
      <c r="D27" s="4" t="s">
        <v>21</v>
      </c>
      <c r="E27" s="4"/>
      <c r="F27" s="5">
        <v>46128</v>
      </c>
      <c r="G27" s="4"/>
      <c r="H27" s="4" t="s">
        <v>46</v>
      </c>
      <c r="I27" s="4"/>
      <c r="J27" s="4"/>
      <c r="K27" s="4"/>
      <c r="L27" s="4" t="s">
        <v>188</v>
      </c>
      <c r="M27" s="4"/>
      <c r="N27" s="4" t="s">
        <v>235</v>
      </c>
      <c r="O27" s="4"/>
      <c r="P27" s="5">
        <v>46158</v>
      </c>
      <c r="Q27" s="4"/>
      <c r="R27" s="4" t="s">
        <v>243</v>
      </c>
      <c r="S27" s="4"/>
      <c r="T27" s="9"/>
      <c r="U27" s="4"/>
      <c r="V27" s="6">
        <v>8870.2000000000007</v>
      </c>
    </row>
    <row r="28" spans="1:22" x14ac:dyDescent="0.25">
      <c r="A28" s="4"/>
      <c r="B28" s="4"/>
      <c r="C28" s="4"/>
      <c r="D28" s="4" t="s">
        <v>21</v>
      </c>
      <c r="E28" s="4"/>
      <c r="F28" s="5">
        <v>46099</v>
      </c>
      <c r="G28" s="4"/>
      <c r="H28" s="4" t="s">
        <v>47</v>
      </c>
      <c r="I28" s="4"/>
      <c r="J28" s="4" t="s">
        <v>123</v>
      </c>
      <c r="K28" s="4"/>
      <c r="L28" s="4" t="s">
        <v>189</v>
      </c>
      <c r="M28" s="4"/>
      <c r="N28" s="4" t="s">
        <v>236</v>
      </c>
      <c r="O28" s="4"/>
      <c r="P28" s="5">
        <v>46159</v>
      </c>
      <c r="Q28" s="4"/>
      <c r="R28" s="4" t="s">
        <v>239</v>
      </c>
      <c r="S28" s="4"/>
      <c r="T28" s="9"/>
      <c r="U28" s="4"/>
      <c r="V28" s="6">
        <v>47170</v>
      </c>
    </row>
    <row r="29" spans="1:22" x14ac:dyDescent="0.25">
      <c r="A29" s="4"/>
      <c r="B29" s="4"/>
      <c r="C29" s="4"/>
      <c r="D29" s="4" t="s">
        <v>21</v>
      </c>
      <c r="E29" s="4"/>
      <c r="F29" s="5">
        <v>46099</v>
      </c>
      <c r="G29" s="4"/>
      <c r="H29" s="4" t="s">
        <v>48</v>
      </c>
      <c r="I29" s="4"/>
      <c r="J29" s="4" t="s">
        <v>124</v>
      </c>
      <c r="K29" s="4"/>
      <c r="L29" s="4" t="s">
        <v>190</v>
      </c>
      <c r="M29" s="4"/>
      <c r="N29" s="4" t="s">
        <v>236</v>
      </c>
      <c r="O29" s="4"/>
      <c r="P29" s="5">
        <v>46159</v>
      </c>
      <c r="Q29" s="4"/>
      <c r="R29" s="4" t="s">
        <v>239</v>
      </c>
      <c r="S29" s="4"/>
      <c r="T29" s="9"/>
      <c r="U29" s="4"/>
      <c r="V29" s="6">
        <v>5500</v>
      </c>
    </row>
    <row r="30" spans="1:22" x14ac:dyDescent="0.25">
      <c r="A30" s="4"/>
      <c r="B30" s="4"/>
      <c r="C30" s="4"/>
      <c r="D30" s="4" t="s">
        <v>21</v>
      </c>
      <c r="E30" s="4"/>
      <c r="F30" s="5">
        <v>46129</v>
      </c>
      <c r="G30" s="4"/>
      <c r="H30" s="4" t="s">
        <v>49</v>
      </c>
      <c r="I30" s="4"/>
      <c r="J30" s="4" t="s">
        <v>125</v>
      </c>
      <c r="K30" s="4"/>
      <c r="L30" s="4" t="s">
        <v>191</v>
      </c>
      <c r="M30" s="4"/>
      <c r="N30" s="4" t="s">
        <v>235</v>
      </c>
      <c r="O30" s="4"/>
      <c r="P30" s="5">
        <v>46159</v>
      </c>
      <c r="Q30" s="4"/>
      <c r="R30" s="4" t="s">
        <v>242</v>
      </c>
      <c r="S30" s="4"/>
      <c r="T30" s="9"/>
      <c r="U30" s="4"/>
      <c r="V30" s="6">
        <v>2510</v>
      </c>
    </row>
    <row r="31" spans="1:22" x14ac:dyDescent="0.25">
      <c r="A31" s="4"/>
      <c r="B31" s="4"/>
      <c r="C31" s="4"/>
      <c r="D31" s="4" t="s">
        <v>21</v>
      </c>
      <c r="E31" s="4"/>
      <c r="F31" s="5">
        <v>46101</v>
      </c>
      <c r="G31" s="4"/>
      <c r="H31" s="4" t="s">
        <v>50</v>
      </c>
      <c r="I31" s="4"/>
      <c r="J31" s="4" t="s">
        <v>126</v>
      </c>
      <c r="K31" s="4"/>
      <c r="L31" s="4" t="s">
        <v>192</v>
      </c>
      <c r="M31" s="4"/>
      <c r="N31" s="4" t="s">
        <v>236</v>
      </c>
      <c r="O31" s="4"/>
      <c r="P31" s="5">
        <v>46161</v>
      </c>
      <c r="Q31" s="4"/>
      <c r="R31" s="4" t="s">
        <v>240</v>
      </c>
      <c r="S31" s="4"/>
      <c r="T31" s="9"/>
      <c r="U31" s="4"/>
      <c r="V31" s="6">
        <v>12736.5</v>
      </c>
    </row>
    <row r="32" spans="1:22" x14ac:dyDescent="0.25">
      <c r="A32" s="4"/>
      <c r="B32" s="4"/>
      <c r="C32" s="4"/>
      <c r="D32" s="4" t="s">
        <v>21</v>
      </c>
      <c r="E32" s="4"/>
      <c r="F32" s="5">
        <v>46133</v>
      </c>
      <c r="G32" s="4"/>
      <c r="H32" s="4" t="s">
        <v>51</v>
      </c>
      <c r="I32" s="4"/>
      <c r="J32" s="4" t="s">
        <v>113</v>
      </c>
      <c r="K32" s="4"/>
      <c r="L32" s="4" t="s">
        <v>177</v>
      </c>
      <c r="M32" s="4"/>
      <c r="N32" s="4" t="s">
        <v>235</v>
      </c>
      <c r="O32" s="4"/>
      <c r="P32" s="5">
        <v>46163</v>
      </c>
      <c r="Q32" s="4"/>
      <c r="R32" s="4" t="s">
        <v>240</v>
      </c>
      <c r="S32" s="4"/>
      <c r="T32" s="9"/>
      <c r="U32" s="4"/>
      <c r="V32" s="6">
        <v>59510.400000000001</v>
      </c>
    </row>
    <row r="33" spans="1:22" x14ac:dyDescent="0.25">
      <c r="A33" s="4"/>
      <c r="B33" s="4"/>
      <c r="C33" s="4"/>
      <c r="D33" s="4" t="s">
        <v>21</v>
      </c>
      <c r="E33" s="4"/>
      <c r="F33" s="5">
        <v>46133</v>
      </c>
      <c r="G33" s="4"/>
      <c r="H33" s="4" t="s">
        <v>52</v>
      </c>
      <c r="I33" s="4"/>
      <c r="J33" s="4" t="s">
        <v>127</v>
      </c>
      <c r="K33" s="4"/>
      <c r="L33" s="4" t="s">
        <v>193</v>
      </c>
      <c r="M33" s="4"/>
      <c r="N33" s="4" t="s">
        <v>235</v>
      </c>
      <c r="O33" s="4"/>
      <c r="P33" s="5">
        <v>46163</v>
      </c>
      <c r="Q33" s="4"/>
      <c r="R33" s="4" t="s">
        <v>241</v>
      </c>
      <c r="S33" s="4"/>
      <c r="T33" s="9"/>
      <c r="U33" s="4"/>
      <c r="V33" s="6">
        <v>212542.79</v>
      </c>
    </row>
    <row r="34" spans="1:22" x14ac:dyDescent="0.25">
      <c r="A34" s="4"/>
      <c r="B34" s="4"/>
      <c r="C34" s="4"/>
      <c r="D34" s="4" t="s">
        <v>21</v>
      </c>
      <c r="E34" s="4"/>
      <c r="F34" s="5">
        <v>46134</v>
      </c>
      <c r="G34" s="4"/>
      <c r="H34" s="4" t="s">
        <v>53</v>
      </c>
      <c r="I34" s="4"/>
      <c r="J34" s="4" t="s">
        <v>128</v>
      </c>
      <c r="K34" s="4"/>
      <c r="L34" s="4" t="s">
        <v>194</v>
      </c>
      <c r="M34" s="4"/>
      <c r="N34" s="4" t="s">
        <v>235</v>
      </c>
      <c r="O34" s="4"/>
      <c r="P34" s="5">
        <v>46164</v>
      </c>
      <c r="Q34" s="4"/>
      <c r="R34" s="4" t="s">
        <v>240</v>
      </c>
      <c r="S34" s="4"/>
      <c r="T34" s="9"/>
      <c r="U34" s="4"/>
      <c r="V34" s="6">
        <v>55622</v>
      </c>
    </row>
    <row r="35" spans="1:22" x14ac:dyDescent="0.25">
      <c r="A35" s="4"/>
      <c r="B35" s="4"/>
      <c r="C35" s="4"/>
      <c r="D35" s="4" t="s">
        <v>21</v>
      </c>
      <c r="E35" s="4"/>
      <c r="F35" s="5">
        <v>46135</v>
      </c>
      <c r="G35" s="4"/>
      <c r="H35" s="4" t="s">
        <v>54</v>
      </c>
      <c r="I35" s="4"/>
      <c r="J35" s="4" t="s">
        <v>129</v>
      </c>
      <c r="K35" s="4"/>
      <c r="L35" s="4" t="s">
        <v>195</v>
      </c>
      <c r="M35" s="4"/>
      <c r="N35" s="4" t="s">
        <v>235</v>
      </c>
      <c r="O35" s="4"/>
      <c r="P35" s="5">
        <v>46165</v>
      </c>
      <c r="Q35" s="4"/>
      <c r="R35" s="4" t="s">
        <v>240</v>
      </c>
      <c r="S35" s="4"/>
      <c r="T35" s="9"/>
      <c r="U35" s="4"/>
      <c r="V35" s="6">
        <v>37470</v>
      </c>
    </row>
    <row r="36" spans="1:22" x14ac:dyDescent="0.25">
      <c r="A36" s="4"/>
      <c r="B36" s="4"/>
      <c r="C36" s="4"/>
      <c r="D36" s="4" t="s">
        <v>21</v>
      </c>
      <c r="E36" s="4"/>
      <c r="F36" s="5">
        <v>46136</v>
      </c>
      <c r="G36" s="4"/>
      <c r="H36" s="4" t="s">
        <v>55</v>
      </c>
      <c r="I36" s="4"/>
      <c r="J36" s="4" t="s">
        <v>130</v>
      </c>
      <c r="K36" s="4"/>
      <c r="L36" s="4" t="s">
        <v>196</v>
      </c>
      <c r="M36" s="4"/>
      <c r="N36" s="4" t="s">
        <v>235</v>
      </c>
      <c r="O36" s="4"/>
      <c r="P36" s="5">
        <v>46166</v>
      </c>
      <c r="Q36" s="4"/>
      <c r="R36" s="4" t="s">
        <v>239</v>
      </c>
      <c r="S36" s="4"/>
      <c r="T36" s="9"/>
      <c r="U36" s="4"/>
      <c r="V36" s="6">
        <v>21710</v>
      </c>
    </row>
    <row r="37" spans="1:22" x14ac:dyDescent="0.25">
      <c r="A37" s="4"/>
      <c r="B37" s="4"/>
      <c r="C37" s="4"/>
      <c r="D37" s="4" t="s">
        <v>21</v>
      </c>
      <c r="E37" s="4"/>
      <c r="F37" s="5">
        <v>46139</v>
      </c>
      <c r="G37" s="4"/>
      <c r="H37" s="4" t="s">
        <v>56</v>
      </c>
      <c r="I37" s="4"/>
      <c r="J37" s="4" t="s">
        <v>131</v>
      </c>
      <c r="K37" s="4"/>
      <c r="L37" s="4" t="s">
        <v>197</v>
      </c>
      <c r="M37" s="4"/>
      <c r="N37" s="4" t="s">
        <v>235</v>
      </c>
      <c r="O37" s="4"/>
      <c r="P37" s="5">
        <v>46169</v>
      </c>
      <c r="Q37" s="4"/>
      <c r="R37" s="4" t="s">
        <v>240</v>
      </c>
      <c r="S37" s="4"/>
      <c r="T37" s="9"/>
      <c r="U37" s="4"/>
      <c r="V37" s="6">
        <v>20740</v>
      </c>
    </row>
    <row r="38" spans="1:22" x14ac:dyDescent="0.25">
      <c r="A38" s="4"/>
      <c r="B38" s="4"/>
      <c r="C38" s="4"/>
      <c r="D38" s="4" t="s">
        <v>21</v>
      </c>
      <c r="E38" s="4"/>
      <c r="F38" s="5">
        <v>46127</v>
      </c>
      <c r="G38" s="4"/>
      <c r="H38" s="4" t="s">
        <v>57</v>
      </c>
      <c r="I38" s="4"/>
      <c r="J38" s="4" t="s">
        <v>132</v>
      </c>
      <c r="K38" s="4"/>
      <c r="L38" s="4" t="s">
        <v>198</v>
      </c>
      <c r="M38" s="4"/>
      <c r="N38" s="4" t="s">
        <v>237</v>
      </c>
      <c r="O38" s="4"/>
      <c r="P38" s="5">
        <v>46172</v>
      </c>
      <c r="Q38" s="4"/>
      <c r="R38" s="4" t="s">
        <v>240</v>
      </c>
      <c r="S38" s="4"/>
      <c r="T38" s="9"/>
      <c r="U38" s="4"/>
      <c r="V38" s="6">
        <v>20252</v>
      </c>
    </row>
    <row r="39" spans="1:22" x14ac:dyDescent="0.25">
      <c r="A39" s="4"/>
      <c r="B39" s="4"/>
      <c r="C39" s="4"/>
      <c r="D39" s="4" t="s">
        <v>21</v>
      </c>
      <c r="E39" s="4"/>
      <c r="F39" s="5">
        <v>46113</v>
      </c>
      <c r="G39" s="4"/>
      <c r="H39" s="4" t="s">
        <v>58</v>
      </c>
      <c r="I39" s="4"/>
      <c r="J39" s="4" t="s">
        <v>133</v>
      </c>
      <c r="K39" s="4"/>
      <c r="L39" s="4" t="s">
        <v>199</v>
      </c>
      <c r="M39" s="4"/>
      <c r="N39" s="4" t="s">
        <v>236</v>
      </c>
      <c r="O39" s="4"/>
      <c r="P39" s="5">
        <v>46173</v>
      </c>
      <c r="Q39" s="4"/>
      <c r="R39" s="4" t="s">
        <v>239</v>
      </c>
      <c r="S39" s="4"/>
      <c r="T39" s="9"/>
      <c r="U39" s="4"/>
      <c r="V39" s="6">
        <v>2420</v>
      </c>
    </row>
    <row r="40" spans="1:22" x14ac:dyDescent="0.25">
      <c r="A40" s="4"/>
      <c r="B40" s="4"/>
      <c r="C40" s="4"/>
      <c r="D40" s="4" t="s">
        <v>21</v>
      </c>
      <c r="E40" s="4"/>
      <c r="F40" s="5">
        <v>46118</v>
      </c>
      <c r="G40" s="4"/>
      <c r="H40" s="4" t="s">
        <v>59</v>
      </c>
      <c r="I40" s="4"/>
      <c r="J40" s="4" t="s">
        <v>134</v>
      </c>
      <c r="K40" s="4"/>
      <c r="L40" s="4" t="s">
        <v>200</v>
      </c>
      <c r="M40" s="4"/>
      <c r="N40" s="4" t="s">
        <v>236</v>
      </c>
      <c r="O40" s="4"/>
      <c r="P40" s="5">
        <v>46178</v>
      </c>
      <c r="Q40" s="4"/>
      <c r="R40" s="4" t="s">
        <v>239</v>
      </c>
      <c r="S40" s="4"/>
      <c r="T40" s="9"/>
      <c r="U40" s="4"/>
      <c r="V40" s="6">
        <v>260065.4</v>
      </c>
    </row>
    <row r="41" spans="1:22" x14ac:dyDescent="0.25">
      <c r="A41" s="4"/>
      <c r="B41" s="4"/>
      <c r="C41" s="4"/>
      <c r="D41" s="4" t="s">
        <v>21</v>
      </c>
      <c r="E41" s="4"/>
      <c r="F41" s="5">
        <v>46133</v>
      </c>
      <c r="G41" s="4"/>
      <c r="H41" s="4" t="s">
        <v>60</v>
      </c>
      <c r="I41" s="4"/>
      <c r="J41" s="4" t="s">
        <v>132</v>
      </c>
      <c r="K41" s="4"/>
      <c r="L41" s="4" t="s">
        <v>198</v>
      </c>
      <c r="M41" s="4"/>
      <c r="N41" s="4" t="s">
        <v>237</v>
      </c>
      <c r="O41" s="4"/>
      <c r="P41" s="5">
        <v>46178</v>
      </c>
      <c r="Q41" s="4"/>
      <c r="R41" s="4" t="s">
        <v>240</v>
      </c>
      <c r="S41" s="4"/>
      <c r="T41" s="9"/>
      <c r="U41" s="4"/>
      <c r="V41" s="6">
        <v>30378</v>
      </c>
    </row>
    <row r="42" spans="1:22" x14ac:dyDescent="0.25">
      <c r="A42" s="4"/>
      <c r="B42" s="4"/>
      <c r="C42" s="4"/>
      <c r="D42" s="4" t="s">
        <v>21</v>
      </c>
      <c r="E42" s="4"/>
      <c r="F42" s="5">
        <v>46128</v>
      </c>
      <c r="G42" s="4"/>
      <c r="H42" s="4" t="s">
        <v>61</v>
      </c>
      <c r="I42" s="4"/>
      <c r="J42" s="4" t="s">
        <v>135</v>
      </c>
      <c r="K42" s="4"/>
      <c r="L42" s="4" t="s">
        <v>193</v>
      </c>
      <c r="M42" s="4"/>
      <c r="N42" s="4" t="s">
        <v>236</v>
      </c>
      <c r="O42" s="4"/>
      <c r="P42" s="5">
        <v>46188</v>
      </c>
      <c r="Q42" s="4"/>
      <c r="R42" s="4" t="s">
        <v>240</v>
      </c>
      <c r="S42" s="4"/>
      <c r="T42" s="9"/>
      <c r="U42" s="4"/>
      <c r="V42" s="6">
        <v>197000</v>
      </c>
    </row>
    <row r="43" spans="1:22" x14ac:dyDescent="0.25">
      <c r="A43" s="4"/>
      <c r="B43" s="4"/>
      <c r="C43" s="4"/>
      <c r="D43" s="4" t="s">
        <v>21</v>
      </c>
      <c r="E43" s="4"/>
      <c r="F43" s="5">
        <v>46129</v>
      </c>
      <c r="G43" s="4"/>
      <c r="H43" s="4" t="s">
        <v>62</v>
      </c>
      <c r="I43" s="4"/>
      <c r="J43" s="4" t="s">
        <v>136</v>
      </c>
      <c r="K43" s="4"/>
      <c r="L43" s="4" t="s">
        <v>201</v>
      </c>
      <c r="M43" s="4"/>
      <c r="N43" s="4" t="s">
        <v>236</v>
      </c>
      <c r="O43" s="4"/>
      <c r="P43" s="5">
        <v>46189</v>
      </c>
      <c r="Q43" s="4"/>
      <c r="R43" s="4" t="s">
        <v>239</v>
      </c>
      <c r="S43" s="4"/>
      <c r="T43" s="9"/>
      <c r="U43" s="4"/>
      <c r="V43" s="6">
        <v>5500</v>
      </c>
    </row>
    <row r="44" spans="1:22" x14ac:dyDescent="0.25">
      <c r="A44" s="4"/>
      <c r="B44" s="4"/>
      <c r="C44" s="4"/>
      <c r="D44" s="4" t="s">
        <v>21</v>
      </c>
      <c r="E44" s="4"/>
      <c r="F44" s="5">
        <v>46129</v>
      </c>
      <c r="G44" s="4"/>
      <c r="H44" s="4" t="s">
        <v>63</v>
      </c>
      <c r="I44" s="4"/>
      <c r="J44" s="4" t="s">
        <v>137</v>
      </c>
      <c r="K44" s="4"/>
      <c r="L44" s="4" t="s">
        <v>202</v>
      </c>
      <c r="M44" s="4"/>
      <c r="N44" s="4" t="s">
        <v>236</v>
      </c>
      <c r="O44" s="4"/>
      <c r="P44" s="5">
        <v>46189</v>
      </c>
      <c r="Q44" s="4"/>
      <c r="R44" s="4" t="s">
        <v>242</v>
      </c>
      <c r="S44" s="4"/>
      <c r="T44" s="9"/>
      <c r="U44" s="4"/>
      <c r="V44" s="6">
        <v>3241.37</v>
      </c>
    </row>
    <row r="45" spans="1:22" x14ac:dyDescent="0.25">
      <c r="A45" s="4"/>
      <c r="B45" s="4"/>
      <c r="C45" s="4"/>
      <c r="D45" s="4" t="s">
        <v>21</v>
      </c>
      <c r="E45" s="4"/>
      <c r="F45" s="5">
        <v>46132</v>
      </c>
      <c r="G45" s="4"/>
      <c r="H45" s="4" t="s">
        <v>64</v>
      </c>
      <c r="I45" s="4"/>
      <c r="J45" s="4" t="s">
        <v>138</v>
      </c>
      <c r="K45" s="4"/>
      <c r="L45" s="4" t="s">
        <v>203</v>
      </c>
      <c r="M45" s="4"/>
      <c r="N45" s="4" t="s">
        <v>236</v>
      </c>
      <c r="O45" s="4"/>
      <c r="P45" s="5">
        <v>46192</v>
      </c>
      <c r="Q45" s="4"/>
      <c r="R45" s="4" t="s">
        <v>239</v>
      </c>
      <c r="S45" s="4"/>
      <c r="T45" s="9"/>
      <c r="U45" s="4"/>
      <c r="V45" s="6">
        <v>25124.5</v>
      </c>
    </row>
    <row r="46" spans="1:22" x14ac:dyDescent="0.25">
      <c r="A46" s="4"/>
      <c r="B46" s="4"/>
      <c r="C46" s="4"/>
      <c r="D46" s="4" t="s">
        <v>21</v>
      </c>
      <c r="E46" s="4"/>
      <c r="F46" s="5">
        <v>46136</v>
      </c>
      <c r="G46" s="4"/>
      <c r="H46" s="4" t="s">
        <v>65</v>
      </c>
      <c r="I46" s="4"/>
      <c r="J46" s="4" t="s">
        <v>139</v>
      </c>
      <c r="K46" s="4"/>
      <c r="L46" s="4" t="s">
        <v>204</v>
      </c>
      <c r="M46" s="4"/>
      <c r="N46" s="4" t="s">
        <v>236</v>
      </c>
      <c r="O46" s="4"/>
      <c r="P46" s="5">
        <v>46196</v>
      </c>
      <c r="Q46" s="4"/>
      <c r="R46" s="4" t="s">
        <v>240</v>
      </c>
      <c r="S46" s="4"/>
      <c r="T46" s="9"/>
      <c r="U46" s="4"/>
      <c r="V46" s="6">
        <v>124525</v>
      </c>
    </row>
    <row r="47" spans="1:22" x14ac:dyDescent="0.25">
      <c r="A47" s="4"/>
      <c r="B47" s="4"/>
      <c r="C47" s="4"/>
      <c r="D47" s="4" t="s">
        <v>21</v>
      </c>
      <c r="E47" s="4"/>
      <c r="F47" s="5">
        <v>46136</v>
      </c>
      <c r="G47" s="4"/>
      <c r="H47" s="4" t="s">
        <v>66</v>
      </c>
      <c r="I47" s="4"/>
      <c r="J47" s="4" t="s">
        <v>140</v>
      </c>
      <c r="K47" s="4"/>
      <c r="L47" s="4" t="s">
        <v>205</v>
      </c>
      <c r="M47" s="4"/>
      <c r="N47" s="4" t="s">
        <v>236</v>
      </c>
      <c r="O47" s="4"/>
      <c r="P47" s="5">
        <v>46196</v>
      </c>
      <c r="Q47" s="4"/>
      <c r="R47" s="4" t="s">
        <v>240</v>
      </c>
      <c r="S47" s="4"/>
      <c r="T47" s="9"/>
      <c r="U47" s="4"/>
      <c r="V47" s="6">
        <v>16650</v>
      </c>
    </row>
    <row r="48" spans="1:22" x14ac:dyDescent="0.25">
      <c r="A48" s="4"/>
      <c r="B48" s="4"/>
      <c r="C48" s="4"/>
      <c r="D48" s="4" t="s">
        <v>21</v>
      </c>
      <c r="E48" s="4"/>
      <c r="F48" s="5">
        <v>46136</v>
      </c>
      <c r="G48" s="4"/>
      <c r="H48" s="4" t="s">
        <v>67</v>
      </c>
      <c r="I48" s="4"/>
      <c r="J48" s="4" t="s">
        <v>141</v>
      </c>
      <c r="K48" s="4"/>
      <c r="L48" s="4" t="s">
        <v>206</v>
      </c>
      <c r="M48" s="4"/>
      <c r="N48" s="4" t="s">
        <v>236</v>
      </c>
      <c r="O48" s="4"/>
      <c r="P48" s="5">
        <v>46196</v>
      </c>
      <c r="Q48" s="4"/>
      <c r="R48" s="4" t="s">
        <v>240</v>
      </c>
      <c r="S48" s="4"/>
      <c r="T48" s="9"/>
      <c r="U48" s="4"/>
      <c r="V48" s="6">
        <v>68109</v>
      </c>
    </row>
    <row r="49" spans="1:22" ht="15.75" thickBot="1" x14ac:dyDescent="0.3">
      <c r="A49" s="4"/>
      <c r="B49" s="4"/>
      <c r="C49" s="4"/>
      <c r="D49" s="4" t="s">
        <v>21</v>
      </c>
      <c r="E49" s="4"/>
      <c r="F49" s="5">
        <v>46136</v>
      </c>
      <c r="G49" s="4"/>
      <c r="H49" s="4" t="s">
        <v>68</v>
      </c>
      <c r="I49" s="4"/>
      <c r="J49" s="4" t="s">
        <v>134</v>
      </c>
      <c r="K49" s="4"/>
      <c r="L49" s="4" t="s">
        <v>200</v>
      </c>
      <c r="M49" s="4"/>
      <c r="N49" s="4" t="s">
        <v>236</v>
      </c>
      <c r="O49" s="4"/>
      <c r="P49" s="5">
        <v>46196</v>
      </c>
      <c r="Q49" s="4"/>
      <c r="R49" s="4" t="s">
        <v>239</v>
      </c>
      <c r="S49" s="4"/>
      <c r="T49" s="9"/>
      <c r="U49" s="4"/>
      <c r="V49" s="7">
        <v>111456.6</v>
      </c>
    </row>
    <row r="50" spans="1:22" x14ac:dyDescent="0.25">
      <c r="A50" s="4" t="s">
        <v>11</v>
      </c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5"/>
      <c r="Q50" s="4"/>
      <c r="R50" s="4"/>
      <c r="S50" s="4"/>
      <c r="T50" s="9"/>
      <c r="U50" s="4"/>
      <c r="V50" s="6">
        <f>ROUND(SUM(V2:V49),5)</f>
        <v>3158292.52</v>
      </c>
    </row>
    <row r="51" spans="1:22" x14ac:dyDescent="0.25">
      <c r="A51" s="1" t="s">
        <v>12</v>
      </c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2"/>
      <c r="Q51" s="1"/>
      <c r="R51" s="1"/>
      <c r="S51" s="1"/>
      <c r="T51" s="8"/>
      <c r="U51" s="1"/>
      <c r="V51" s="3"/>
    </row>
    <row r="52" spans="1:22" x14ac:dyDescent="0.25">
      <c r="A52" s="4"/>
      <c r="B52" s="4"/>
      <c r="C52" s="4"/>
      <c r="D52" s="4" t="s">
        <v>21</v>
      </c>
      <c r="E52" s="4"/>
      <c r="F52" s="5">
        <v>46083</v>
      </c>
      <c r="G52" s="4"/>
      <c r="H52" s="4" t="s">
        <v>69</v>
      </c>
      <c r="I52" s="4"/>
      <c r="J52" s="4" t="s">
        <v>142</v>
      </c>
      <c r="K52" s="4"/>
      <c r="L52" s="4" t="s">
        <v>207</v>
      </c>
      <c r="M52" s="4"/>
      <c r="N52" s="4" t="s">
        <v>235</v>
      </c>
      <c r="O52" s="4"/>
      <c r="P52" s="5">
        <v>46113</v>
      </c>
      <c r="Q52" s="4"/>
      <c r="R52" s="4" t="s">
        <v>240</v>
      </c>
      <c r="S52" s="4"/>
      <c r="T52" s="9">
        <v>29</v>
      </c>
      <c r="U52" s="4"/>
      <c r="V52" s="6">
        <v>16857.25</v>
      </c>
    </row>
    <row r="53" spans="1:22" x14ac:dyDescent="0.25">
      <c r="A53" s="4"/>
      <c r="B53" s="4"/>
      <c r="C53" s="4"/>
      <c r="D53" s="4" t="s">
        <v>21</v>
      </c>
      <c r="E53" s="4"/>
      <c r="F53" s="5">
        <v>46072</v>
      </c>
      <c r="G53" s="4"/>
      <c r="H53" s="4" t="s">
        <v>70</v>
      </c>
      <c r="I53" s="4"/>
      <c r="J53" s="4" t="s">
        <v>143</v>
      </c>
      <c r="K53" s="4"/>
      <c r="L53" s="4" t="s">
        <v>208</v>
      </c>
      <c r="M53" s="4"/>
      <c r="N53" s="4" t="s">
        <v>237</v>
      </c>
      <c r="O53" s="4"/>
      <c r="P53" s="5">
        <v>46117</v>
      </c>
      <c r="Q53" s="4"/>
      <c r="R53" s="4" t="s">
        <v>240</v>
      </c>
      <c r="S53" s="4"/>
      <c r="T53" s="9">
        <v>25</v>
      </c>
      <c r="U53" s="4"/>
      <c r="V53" s="6">
        <v>9963</v>
      </c>
    </row>
    <row r="54" spans="1:22" x14ac:dyDescent="0.25">
      <c r="A54" s="4"/>
      <c r="B54" s="4"/>
      <c r="C54" s="4"/>
      <c r="D54" s="4" t="s">
        <v>21</v>
      </c>
      <c r="E54" s="4"/>
      <c r="F54" s="5">
        <v>46125</v>
      </c>
      <c r="G54" s="4"/>
      <c r="H54" s="4" t="s">
        <v>71</v>
      </c>
      <c r="I54" s="4"/>
      <c r="J54" s="4"/>
      <c r="K54" s="4"/>
      <c r="L54" s="4" t="s">
        <v>209</v>
      </c>
      <c r="M54" s="4"/>
      <c r="N54" s="4" t="s">
        <v>238</v>
      </c>
      <c r="O54" s="4"/>
      <c r="P54" s="5">
        <v>46125</v>
      </c>
      <c r="Q54" s="4"/>
      <c r="R54" s="4" t="s">
        <v>241</v>
      </c>
      <c r="S54" s="4"/>
      <c r="T54" s="9">
        <v>17</v>
      </c>
      <c r="U54" s="4"/>
      <c r="V54" s="6">
        <v>120.75</v>
      </c>
    </row>
    <row r="55" spans="1:22" x14ac:dyDescent="0.25">
      <c r="A55" s="4"/>
      <c r="B55" s="4"/>
      <c r="C55" s="4"/>
      <c r="D55" s="4" t="s">
        <v>21</v>
      </c>
      <c r="E55" s="4"/>
      <c r="F55" s="5">
        <v>46098</v>
      </c>
      <c r="G55" s="4"/>
      <c r="H55" s="4" t="s">
        <v>72</v>
      </c>
      <c r="I55" s="4"/>
      <c r="J55" s="4" t="s">
        <v>144</v>
      </c>
      <c r="K55" s="4"/>
      <c r="L55" s="4" t="s">
        <v>210</v>
      </c>
      <c r="M55" s="4"/>
      <c r="N55" s="4" t="s">
        <v>235</v>
      </c>
      <c r="O55" s="4"/>
      <c r="P55" s="5">
        <v>46128</v>
      </c>
      <c r="Q55" s="4"/>
      <c r="R55" s="4" t="s">
        <v>240</v>
      </c>
      <c r="S55" s="4"/>
      <c r="T55" s="9">
        <v>14</v>
      </c>
      <c r="U55" s="4"/>
      <c r="V55" s="6">
        <v>78961</v>
      </c>
    </row>
    <row r="56" spans="1:22" x14ac:dyDescent="0.25">
      <c r="A56" s="4"/>
      <c r="B56" s="4"/>
      <c r="C56" s="4"/>
      <c r="D56" s="4" t="s">
        <v>21</v>
      </c>
      <c r="E56" s="4"/>
      <c r="F56" s="5">
        <v>46099</v>
      </c>
      <c r="G56" s="4"/>
      <c r="H56" s="4" t="s">
        <v>73</v>
      </c>
      <c r="I56" s="4"/>
      <c r="J56" s="4" t="s">
        <v>145</v>
      </c>
      <c r="K56" s="4"/>
      <c r="L56" s="4" t="s">
        <v>211</v>
      </c>
      <c r="M56" s="4"/>
      <c r="N56" s="4" t="s">
        <v>235</v>
      </c>
      <c r="O56" s="4"/>
      <c r="P56" s="5">
        <v>46129</v>
      </c>
      <c r="Q56" s="4"/>
      <c r="R56" s="4" t="s">
        <v>240</v>
      </c>
      <c r="S56" s="4"/>
      <c r="T56" s="9">
        <v>13</v>
      </c>
      <c r="U56" s="4"/>
      <c r="V56" s="6">
        <v>11901</v>
      </c>
    </row>
    <row r="57" spans="1:22" x14ac:dyDescent="0.25">
      <c r="A57" s="4"/>
      <c r="B57" s="4"/>
      <c r="C57" s="4"/>
      <c r="D57" s="4" t="s">
        <v>21</v>
      </c>
      <c r="E57" s="4"/>
      <c r="F57" s="5">
        <v>46099</v>
      </c>
      <c r="G57" s="4"/>
      <c r="H57" s="4" t="s">
        <v>74</v>
      </c>
      <c r="I57" s="4"/>
      <c r="J57" s="4" t="s">
        <v>146</v>
      </c>
      <c r="K57" s="4"/>
      <c r="L57" s="4" t="s">
        <v>212</v>
      </c>
      <c r="M57" s="4"/>
      <c r="N57" s="4" t="s">
        <v>235</v>
      </c>
      <c r="O57" s="4"/>
      <c r="P57" s="5">
        <v>46129</v>
      </c>
      <c r="Q57" s="4"/>
      <c r="R57" s="4" t="s">
        <v>239</v>
      </c>
      <c r="S57" s="4"/>
      <c r="T57" s="9">
        <v>13</v>
      </c>
      <c r="U57" s="4"/>
      <c r="V57" s="6">
        <v>94570</v>
      </c>
    </row>
    <row r="58" spans="1:22" x14ac:dyDescent="0.25">
      <c r="A58" s="4"/>
      <c r="B58" s="4"/>
      <c r="C58" s="4"/>
      <c r="D58" s="4" t="s">
        <v>21</v>
      </c>
      <c r="E58" s="4"/>
      <c r="F58" s="5">
        <v>46070</v>
      </c>
      <c r="G58" s="4"/>
      <c r="H58" s="4" t="s">
        <v>75</v>
      </c>
      <c r="I58" s="4"/>
      <c r="J58" s="4"/>
      <c r="K58" s="4"/>
      <c r="L58" s="4" t="s">
        <v>213</v>
      </c>
      <c r="M58" s="4"/>
      <c r="N58" s="4" t="s">
        <v>236</v>
      </c>
      <c r="O58" s="4"/>
      <c r="P58" s="5">
        <v>46130</v>
      </c>
      <c r="Q58" s="4"/>
      <c r="R58" s="4" t="s">
        <v>240</v>
      </c>
      <c r="S58" s="4"/>
      <c r="T58" s="9">
        <v>12</v>
      </c>
      <c r="U58" s="4"/>
      <c r="V58" s="6">
        <v>59240</v>
      </c>
    </row>
    <row r="59" spans="1:22" x14ac:dyDescent="0.25">
      <c r="A59" s="4"/>
      <c r="B59" s="4"/>
      <c r="C59" s="4"/>
      <c r="D59" s="4" t="s">
        <v>21</v>
      </c>
      <c r="E59" s="4"/>
      <c r="F59" s="5">
        <v>46100</v>
      </c>
      <c r="G59" s="4"/>
      <c r="H59" s="4" t="s">
        <v>76</v>
      </c>
      <c r="I59" s="4"/>
      <c r="J59" s="4" t="s">
        <v>147</v>
      </c>
      <c r="K59" s="4"/>
      <c r="L59" s="4" t="s">
        <v>214</v>
      </c>
      <c r="M59" s="4"/>
      <c r="N59" s="4" t="s">
        <v>235</v>
      </c>
      <c r="O59" s="4"/>
      <c r="P59" s="5">
        <v>46130</v>
      </c>
      <c r="Q59" s="4"/>
      <c r="R59" s="4" t="s">
        <v>241</v>
      </c>
      <c r="S59" s="4"/>
      <c r="T59" s="9">
        <v>12</v>
      </c>
      <c r="U59" s="4"/>
      <c r="V59" s="6">
        <v>5390.08</v>
      </c>
    </row>
    <row r="60" spans="1:22" x14ac:dyDescent="0.25">
      <c r="A60" s="4"/>
      <c r="B60" s="4"/>
      <c r="C60" s="4"/>
      <c r="D60" s="4" t="s">
        <v>21</v>
      </c>
      <c r="E60" s="4"/>
      <c r="F60" s="5">
        <v>46072</v>
      </c>
      <c r="G60" s="4"/>
      <c r="H60" s="4" t="s">
        <v>77</v>
      </c>
      <c r="I60" s="4"/>
      <c r="J60" s="4" t="s">
        <v>148</v>
      </c>
      <c r="K60" s="4"/>
      <c r="L60" s="4" t="s">
        <v>215</v>
      </c>
      <c r="M60" s="4"/>
      <c r="N60" s="4" t="s">
        <v>236</v>
      </c>
      <c r="O60" s="4"/>
      <c r="P60" s="5">
        <v>46132</v>
      </c>
      <c r="Q60" s="4"/>
      <c r="R60" s="4" t="s">
        <v>240</v>
      </c>
      <c r="S60" s="4"/>
      <c r="T60" s="9">
        <v>10</v>
      </c>
      <c r="U60" s="4"/>
      <c r="V60" s="6">
        <v>61605</v>
      </c>
    </row>
    <row r="61" spans="1:22" x14ac:dyDescent="0.25">
      <c r="A61" s="4"/>
      <c r="B61" s="4"/>
      <c r="C61" s="4"/>
      <c r="D61" s="4" t="s">
        <v>21</v>
      </c>
      <c r="E61" s="4"/>
      <c r="F61" s="5">
        <v>46105</v>
      </c>
      <c r="G61" s="4"/>
      <c r="H61" s="4" t="s">
        <v>78</v>
      </c>
      <c r="I61" s="4"/>
      <c r="J61" s="4" t="s">
        <v>149</v>
      </c>
      <c r="K61" s="4"/>
      <c r="L61" s="4" t="s">
        <v>216</v>
      </c>
      <c r="M61" s="4"/>
      <c r="N61" s="4" t="s">
        <v>235</v>
      </c>
      <c r="O61" s="4"/>
      <c r="P61" s="5">
        <v>46135</v>
      </c>
      <c r="Q61" s="4"/>
      <c r="R61" s="4" t="s">
        <v>240</v>
      </c>
      <c r="S61" s="4"/>
      <c r="T61" s="9">
        <v>7</v>
      </c>
      <c r="U61" s="4"/>
      <c r="V61" s="6">
        <v>5914.8</v>
      </c>
    </row>
    <row r="62" spans="1:22" x14ac:dyDescent="0.25">
      <c r="A62" s="4"/>
      <c r="B62" s="4"/>
      <c r="C62" s="4"/>
      <c r="D62" s="4" t="s">
        <v>21</v>
      </c>
      <c r="E62" s="4"/>
      <c r="F62" s="5">
        <v>46108</v>
      </c>
      <c r="G62" s="4"/>
      <c r="H62" s="4" t="s">
        <v>79</v>
      </c>
      <c r="I62" s="4"/>
      <c r="J62" s="4" t="s">
        <v>127</v>
      </c>
      <c r="K62" s="4"/>
      <c r="L62" s="4" t="s">
        <v>193</v>
      </c>
      <c r="M62" s="4"/>
      <c r="N62" s="4" t="s">
        <v>235</v>
      </c>
      <c r="O62" s="4"/>
      <c r="P62" s="5">
        <v>46138</v>
      </c>
      <c r="Q62" s="4"/>
      <c r="R62" s="4" t="s">
        <v>241</v>
      </c>
      <c r="S62" s="4"/>
      <c r="T62" s="9">
        <v>4</v>
      </c>
      <c r="U62" s="4"/>
      <c r="V62" s="6">
        <v>212542.79</v>
      </c>
    </row>
    <row r="63" spans="1:22" ht="15.75" thickBot="1" x14ac:dyDescent="0.3">
      <c r="A63" s="4"/>
      <c r="B63" s="4"/>
      <c r="C63" s="4"/>
      <c r="D63" s="4" t="s">
        <v>21</v>
      </c>
      <c r="E63" s="4"/>
      <c r="F63" s="5">
        <v>46108</v>
      </c>
      <c r="G63" s="4"/>
      <c r="H63" s="4" t="s">
        <v>80</v>
      </c>
      <c r="I63" s="4"/>
      <c r="J63" s="4" t="s">
        <v>138</v>
      </c>
      <c r="K63" s="4"/>
      <c r="L63" s="4" t="s">
        <v>203</v>
      </c>
      <c r="M63" s="4"/>
      <c r="N63" s="4" t="s">
        <v>235</v>
      </c>
      <c r="O63" s="4"/>
      <c r="P63" s="5">
        <v>46138</v>
      </c>
      <c r="Q63" s="4"/>
      <c r="R63" s="4" t="s">
        <v>239</v>
      </c>
      <c r="S63" s="4"/>
      <c r="T63" s="9">
        <v>4</v>
      </c>
      <c r="U63" s="4"/>
      <c r="V63" s="7">
        <v>13450</v>
      </c>
    </row>
    <row r="64" spans="1:22" x14ac:dyDescent="0.25">
      <c r="A64" s="4" t="s">
        <v>13</v>
      </c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5"/>
      <c r="Q64" s="4"/>
      <c r="R64" s="4"/>
      <c r="S64" s="4"/>
      <c r="T64" s="9"/>
      <c r="U64" s="4"/>
      <c r="V64" s="6">
        <f>ROUND(SUM(V51:V63),5)</f>
        <v>570515.67000000004</v>
      </c>
    </row>
    <row r="65" spans="1:22" x14ac:dyDescent="0.25">
      <c r="A65" s="1" t="s">
        <v>14</v>
      </c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"/>
      <c r="T65" s="8"/>
      <c r="U65" s="1"/>
      <c r="V65" s="3"/>
    </row>
    <row r="66" spans="1:22" x14ac:dyDescent="0.25">
      <c r="A66" s="4"/>
      <c r="B66" s="4"/>
      <c r="C66" s="4"/>
      <c r="D66" s="4" t="s">
        <v>21</v>
      </c>
      <c r="E66" s="4"/>
      <c r="F66" s="5">
        <v>46056</v>
      </c>
      <c r="G66" s="4"/>
      <c r="H66" s="4" t="s">
        <v>81</v>
      </c>
      <c r="I66" s="4"/>
      <c r="J66" s="4" t="s">
        <v>117</v>
      </c>
      <c r="K66" s="4"/>
      <c r="L66" s="4" t="s">
        <v>181</v>
      </c>
      <c r="M66" s="4"/>
      <c r="N66" s="4" t="s">
        <v>235</v>
      </c>
      <c r="O66" s="4"/>
      <c r="P66" s="5">
        <v>46086</v>
      </c>
      <c r="Q66" s="4"/>
      <c r="R66" s="4" t="s">
        <v>239</v>
      </c>
      <c r="S66" s="4"/>
      <c r="T66" s="9">
        <v>56</v>
      </c>
      <c r="U66" s="4"/>
      <c r="V66" s="6">
        <v>39018</v>
      </c>
    </row>
    <row r="67" spans="1:22" x14ac:dyDescent="0.25">
      <c r="A67" s="4"/>
      <c r="B67" s="4"/>
      <c r="C67" s="4"/>
      <c r="D67" s="4" t="s">
        <v>21</v>
      </c>
      <c r="E67" s="4"/>
      <c r="F67" s="5">
        <v>46057</v>
      </c>
      <c r="G67" s="4"/>
      <c r="H67" s="4" t="s">
        <v>82</v>
      </c>
      <c r="I67" s="4"/>
      <c r="J67" s="4" t="s">
        <v>150</v>
      </c>
      <c r="K67" s="4"/>
      <c r="L67" s="4" t="s">
        <v>217</v>
      </c>
      <c r="M67" s="4"/>
      <c r="N67" s="4" t="s">
        <v>235</v>
      </c>
      <c r="O67" s="4"/>
      <c r="P67" s="5">
        <v>46087</v>
      </c>
      <c r="Q67" s="4"/>
      <c r="R67" s="4" t="s">
        <v>239</v>
      </c>
      <c r="S67" s="4"/>
      <c r="T67" s="9">
        <v>55</v>
      </c>
      <c r="U67" s="4"/>
      <c r="V67" s="6">
        <v>10960</v>
      </c>
    </row>
    <row r="68" spans="1:22" x14ac:dyDescent="0.25">
      <c r="A68" s="4"/>
      <c r="B68" s="4"/>
      <c r="C68" s="4"/>
      <c r="D68" s="4" t="s">
        <v>21</v>
      </c>
      <c r="E68" s="4"/>
      <c r="F68" s="5">
        <v>46030</v>
      </c>
      <c r="G68" s="4"/>
      <c r="H68" s="4" t="s">
        <v>83</v>
      </c>
      <c r="I68" s="4"/>
      <c r="J68" s="4" t="s">
        <v>151</v>
      </c>
      <c r="K68" s="4"/>
      <c r="L68" s="4" t="s">
        <v>218</v>
      </c>
      <c r="M68" s="4"/>
      <c r="N68" s="4" t="s">
        <v>236</v>
      </c>
      <c r="O68" s="4"/>
      <c r="P68" s="5">
        <v>46090</v>
      </c>
      <c r="Q68" s="4"/>
      <c r="R68" s="4" t="s">
        <v>239</v>
      </c>
      <c r="S68" s="4"/>
      <c r="T68" s="9">
        <v>52</v>
      </c>
      <c r="U68" s="4"/>
      <c r="V68" s="6">
        <v>17700</v>
      </c>
    </row>
    <row r="69" spans="1:22" x14ac:dyDescent="0.25">
      <c r="A69" s="4"/>
      <c r="B69" s="4"/>
      <c r="C69" s="4"/>
      <c r="D69" s="4" t="s">
        <v>21</v>
      </c>
      <c r="E69" s="4"/>
      <c r="F69" s="5">
        <v>46035</v>
      </c>
      <c r="G69" s="4"/>
      <c r="H69" s="4" t="s">
        <v>84</v>
      </c>
      <c r="I69" s="4"/>
      <c r="J69" s="4" t="s">
        <v>152</v>
      </c>
      <c r="K69" s="4"/>
      <c r="L69" s="4" t="s">
        <v>219</v>
      </c>
      <c r="M69" s="4"/>
      <c r="N69" s="4" t="s">
        <v>236</v>
      </c>
      <c r="O69" s="4"/>
      <c r="P69" s="5">
        <v>46095</v>
      </c>
      <c r="Q69" s="4"/>
      <c r="R69" s="4" t="s">
        <v>240</v>
      </c>
      <c r="S69" s="4"/>
      <c r="T69" s="9">
        <v>47</v>
      </c>
      <c r="U69" s="4"/>
      <c r="V69" s="6">
        <v>6390</v>
      </c>
    </row>
    <row r="70" spans="1:22" x14ac:dyDescent="0.25">
      <c r="A70" s="4"/>
      <c r="B70" s="4"/>
      <c r="C70" s="4"/>
      <c r="D70" s="4" t="s">
        <v>21</v>
      </c>
      <c r="E70" s="4"/>
      <c r="F70" s="5">
        <v>46036</v>
      </c>
      <c r="G70" s="4"/>
      <c r="H70" s="4" t="s">
        <v>85</v>
      </c>
      <c r="I70" s="4"/>
      <c r="J70" s="4" t="s">
        <v>153</v>
      </c>
      <c r="K70" s="4"/>
      <c r="L70" s="4" t="s">
        <v>220</v>
      </c>
      <c r="M70" s="4"/>
      <c r="N70" s="4" t="s">
        <v>236</v>
      </c>
      <c r="O70" s="4"/>
      <c r="P70" s="5">
        <v>46096</v>
      </c>
      <c r="Q70" s="4"/>
      <c r="R70" s="4" t="s">
        <v>241</v>
      </c>
      <c r="S70" s="4"/>
      <c r="T70" s="9">
        <v>46</v>
      </c>
      <c r="U70" s="4"/>
      <c r="V70" s="6">
        <v>7950.08</v>
      </c>
    </row>
    <row r="71" spans="1:22" x14ac:dyDescent="0.25">
      <c r="A71" s="4"/>
      <c r="B71" s="4"/>
      <c r="C71" s="4"/>
      <c r="D71" s="4" t="s">
        <v>21</v>
      </c>
      <c r="E71" s="4"/>
      <c r="F71" s="5">
        <v>46077</v>
      </c>
      <c r="G71" s="4"/>
      <c r="H71" s="4" t="s">
        <v>86</v>
      </c>
      <c r="I71" s="4"/>
      <c r="J71" s="4" t="s">
        <v>154</v>
      </c>
      <c r="K71" s="4"/>
      <c r="L71" s="4" t="s">
        <v>221</v>
      </c>
      <c r="M71" s="4"/>
      <c r="N71" s="4" t="s">
        <v>235</v>
      </c>
      <c r="O71" s="4"/>
      <c r="P71" s="5">
        <v>46107</v>
      </c>
      <c r="Q71" s="4"/>
      <c r="R71" s="4" t="s">
        <v>240</v>
      </c>
      <c r="S71" s="4"/>
      <c r="T71" s="9">
        <v>35</v>
      </c>
      <c r="U71" s="4"/>
      <c r="V71" s="6">
        <v>123255</v>
      </c>
    </row>
    <row r="72" spans="1:22" ht="15.75" thickBot="1" x14ac:dyDescent="0.3">
      <c r="A72" s="4"/>
      <c r="B72" s="4"/>
      <c r="C72" s="4"/>
      <c r="D72" s="4" t="s">
        <v>21</v>
      </c>
      <c r="E72" s="4"/>
      <c r="F72" s="5">
        <v>46080</v>
      </c>
      <c r="G72" s="4"/>
      <c r="H72" s="4" t="s">
        <v>87</v>
      </c>
      <c r="I72" s="4"/>
      <c r="J72" s="4" t="s">
        <v>155</v>
      </c>
      <c r="K72" s="4"/>
      <c r="L72" s="4" t="s">
        <v>222</v>
      </c>
      <c r="M72" s="4"/>
      <c r="N72" s="4" t="s">
        <v>235</v>
      </c>
      <c r="O72" s="4"/>
      <c r="P72" s="5">
        <v>46110</v>
      </c>
      <c r="Q72" s="4"/>
      <c r="R72" s="4" t="s">
        <v>242</v>
      </c>
      <c r="S72" s="4"/>
      <c r="T72" s="9">
        <v>32</v>
      </c>
      <c r="U72" s="4"/>
      <c r="V72" s="7">
        <v>2175</v>
      </c>
    </row>
    <row r="73" spans="1:22" x14ac:dyDescent="0.25">
      <c r="A73" s="4" t="s">
        <v>15</v>
      </c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5"/>
      <c r="Q73" s="4"/>
      <c r="R73" s="4"/>
      <c r="S73" s="4"/>
      <c r="T73" s="9"/>
      <c r="U73" s="4"/>
      <c r="V73" s="6">
        <f>ROUND(SUM(V65:V72),5)</f>
        <v>207448.08</v>
      </c>
    </row>
    <row r="74" spans="1:22" x14ac:dyDescent="0.25">
      <c r="A74" s="1" t="s">
        <v>16</v>
      </c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"/>
      <c r="T74" s="8"/>
      <c r="U74" s="1"/>
      <c r="V74" s="3"/>
    </row>
    <row r="75" spans="1:22" x14ac:dyDescent="0.25">
      <c r="A75" s="4"/>
      <c r="B75" s="4"/>
      <c r="C75" s="4"/>
      <c r="D75" s="4" t="s">
        <v>21</v>
      </c>
      <c r="E75" s="4"/>
      <c r="F75" s="5">
        <v>46031</v>
      </c>
      <c r="G75" s="4"/>
      <c r="H75" s="4" t="s">
        <v>88</v>
      </c>
      <c r="I75" s="4"/>
      <c r="J75" s="4" t="s">
        <v>156</v>
      </c>
      <c r="K75" s="4"/>
      <c r="L75" s="4" t="s">
        <v>223</v>
      </c>
      <c r="M75" s="4"/>
      <c r="N75" s="4" t="s">
        <v>235</v>
      </c>
      <c r="O75" s="4"/>
      <c r="P75" s="5">
        <v>46061</v>
      </c>
      <c r="Q75" s="4"/>
      <c r="R75" s="4" t="s">
        <v>240</v>
      </c>
      <c r="S75" s="4"/>
      <c r="T75" s="9">
        <v>81</v>
      </c>
      <c r="U75" s="4"/>
      <c r="V75" s="6">
        <v>71721</v>
      </c>
    </row>
    <row r="76" spans="1:22" x14ac:dyDescent="0.25">
      <c r="A76" s="4"/>
      <c r="B76" s="4"/>
      <c r="C76" s="4"/>
      <c r="D76" s="4" t="s">
        <v>21</v>
      </c>
      <c r="E76" s="4"/>
      <c r="F76" s="5">
        <v>46007</v>
      </c>
      <c r="G76" s="4"/>
      <c r="H76" s="4" t="s">
        <v>89</v>
      </c>
      <c r="I76" s="4"/>
      <c r="J76" s="4"/>
      <c r="K76" s="4"/>
      <c r="L76" s="4" t="s">
        <v>224</v>
      </c>
      <c r="M76" s="4"/>
      <c r="N76" s="4" t="s">
        <v>236</v>
      </c>
      <c r="O76" s="4"/>
      <c r="P76" s="5">
        <v>46067</v>
      </c>
      <c r="Q76" s="4"/>
      <c r="R76" s="4" t="s">
        <v>240</v>
      </c>
      <c r="S76" s="4"/>
      <c r="T76" s="9">
        <v>75</v>
      </c>
      <c r="U76" s="4"/>
      <c r="V76" s="6">
        <v>16639.169999999998</v>
      </c>
    </row>
    <row r="77" spans="1:22" x14ac:dyDescent="0.25">
      <c r="A77" s="4"/>
      <c r="B77" s="4"/>
      <c r="C77" s="4"/>
      <c r="D77" s="4" t="s">
        <v>21</v>
      </c>
      <c r="E77" s="4"/>
      <c r="F77" s="5">
        <v>46007</v>
      </c>
      <c r="G77" s="4"/>
      <c r="H77" s="4" t="s">
        <v>90</v>
      </c>
      <c r="I77" s="4"/>
      <c r="J77" s="4"/>
      <c r="K77" s="4"/>
      <c r="L77" s="4" t="s">
        <v>225</v>
      </c>
      <c r="M77" s="4"/>
      <c r="N77" s="4" t="s">
        <v>236</v>
      </c>
      <c r="O77" s="4"/>
      <c r="P77" s="5">
        <v>46067</v>
      </c>
      <c r="Q77" s="4"/>
      <c r="R77" s="4" t="s">
        <v>239</v>
      </c>
      <c r="S77" s="4"/>
      <c r="T77" s="9">
        <v>75</v>
      </c>
      <c r="U77" s="4"/>
      <c r="V77" s="6">
        <v>7422.34</v>
      </c>
    </row>
    <row r="78" spans="1:22" x14ac:dyDescent="0.25">
      <c r="A78" s="4"/>
      <c r="B78" s="4"/>
      <c r="C78" s="4"/>
      <c r="D78" s="4" t="s">
        <v>21</v>
      </c>
      <c r="E78" s="4"/>
      <c r="F78" s="5">
        <v>46007</v>
      </c>
      <c r="G78" s="4"/>
      <c r="H78" s="4" t="s">
        <v>91</v>
      </c>
      <c r="I78" s="4"/>
      <c r="J78" s="4"/>
      <c r="K78" s="4"/>
      <c r="L78" s="4" t="s">
        <v>226</v>
      </c>
      <c r="M78" s="4"/>
      <c r="N78" s="4" t="s">
        <v>236</v>
      </c>
      <c r="O78" s="4"/>
      <c r="P78" s="5">
        <v>46067</v>
      </c>
      <c r="Q78" s="4"/>
      <c r="R78" s="4" t="s">
        <v>239</v>
      </c>
      <c r="S78" s="4"/>
      <c r="T78" s="9">
        <v>75</v>
      </c>
      <c r="U78" s="4"/>
      <c r="V78" s="6">
        <v>6077.38</v>
      </c>
    </row>
    <row r="79" spans="1:22" x14ac:dyDescent="0.25">
      <c r="A79" s="4"/>
      <c r="B79" s="4"/>
      <c r="C79" s="4"/>
      <c r="D79" s="4" t="s">
        <v>21</v>
      </c>
      <c r="E79" s="4"/>
      <c r="F79" s="5">
        <v>46007</v>
      </c>
      <c r="G79" s="4"/>
      <c r="H79" s="4" t="s">
        <v>92</v>
      </c>
      <c r="I79" s="4"/>
      <c r="J79" s="4" t="s">
        <v>157</v>
      </c>
      <c r="K79" s="4"/>
      <c r="L79" s="4" t="s">
        <v>227</v>
      </c>
      <c r="M79" s="4"/>
      <c r="N79" s="4" t="s">
        <v>236</v>
      </c>
      <c r="O79" s="4"/>
      <c r="P79" s="5">
        <v>46067</v>
      </c>
      <c r="Q79" s="4"/>
      <c r="R79" s="4" t="s">
        <v>240</v>
      </c>
      <c r="S79" s="4"/>
      <c r="T79" s="9">
        <v>75</v>
      </c>
      <c r="U79" s="4"/>
      <c r="V79" s="6">
        <v>21669</v>
      </c>
    </row>
    <row r="80" spans="1:22" x14ac:dyDescent="0.25">
      <c r="A80" s="4"/>
      <c r="B80" s="4"/>
      <c r="C80" s="4"/>
      <c r="D80" s="4" t="s">
        <v>21</v>
      </c>
      <c r="E80" s="4"/>
      <c r="F80" s="5">
        <v>46010</v>
      </c>
      <c r="G80" s="4"/>
      <c r="H80" s="4" t="s">
        <v>93</v>
      </c>
      <c r="I80" s="4"/>
      <c r="J80" s="4" t="s">
        <v>158</v>
      </c>
      <c r="K80" s="4"/>
      <c r="L80" s="4" t="s">
        <v>228</v>
      </c>
      <c r="M80" s="4"/>
      <c r="N80" s="4" t="s">
        <v>236</v>
      </c>
      <c r="O80" s="4"/>
      <c r="P80" s="5">
        <v>46070</v>
      </c>
      <c r="Q80" s="4"/>
      <c r="R80" s="4" t="s">
        <v>241</v>
      </c>
      <c r="S80" s="4"/>
      <c r="T80" s="9">
        <v>72</v>
      </c>
      <c r="U80" s="4"/>
      <c r="V80" s="6">
        <v>2496</v>
      </c>
    </row>
    <row r="81" spans="1:22" ht="15.75" thickBot="1" x14ac:dyDescent="0.3">
      <c r="A81" s="4"/>
      <c r="B81" s="4"/>
      <c r="C81" s="4"/>
      <c r="D81" s="4" t="s">
        <v>21</v>
      </c>
      <c r="E81" s="4"/>
      <c r="F81" s="5">
        <v>46015</v>
      </c>
      <c r="G81" s="4"/>
      <c r="H81" s="4" t="s">
        <v>94</v>
      </c>
      <c r="I81" s="4"/>
      <c r="J81" s="4" t="s">
        <v>159</v>
      </c>
      <c r="K81" s="4"/>
      <c r="L81" s="4" t="s">
        <v>229</v>
      </c>
      <c r="M81" s="4"/>
      <c r="N81" s="4" t="s">
        <v>236</v>
      </c>
      <c r="O81" s="4"/>
      <c r="P81" s="5">
        <v>46075</v>
      </c>
      <c r="Q81" s="4"/>
      <c r="R81" s="4" t="s">
        <v>240</v>
      </c>
      <c r="S81" s="4"/>
      <c r="T81" s="9">
        <v>67</v>
      </c>
      <c r="U81" s="4"/>
      <c r="V81" s="7">
        <v>18025</v>
      </c>
    </row>
    <row r="82" spans="1:22" x14ac:dyDescent="0.25">
      <c r="A82" s="4" t="s">
        <v>17</v>
      </c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5"/>
      <c r="Q82" s="4"/>
      <c r="R82" s="4"/>
      <c r="S82" s="4"/>
      <c r="T82" s="9"/>
      <c r="U82" s="4"/>
      <c r="V82" s="6">
        <f>ROUND(SUM(V74:V81),5)</f>
        <v>144049.89000000001</v>
      </c>
    </row>
    <row r="83" spans="1:22" x14ac:dyDescent="0.25">
      <c r="A83" s="1" t="s">
        <v>18</v>
      </c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8"/>
      <c r="U83" s="1"/>
      <c r="V83" s="3"/>
    </row>
    <row r="84" spans="1:22" x14ac:dyDescent="0.25">
      <c r="A84" s="4"/>
      <c r="B84" s="4"/>
      <c r="C84" s="4"/>
      <c r="D84" s="4" t="s">
        <v>21</v>
      </c>
      <c r="E84" s="4"/>
      <c r="F84" s="5">
        <v>45770</v>
      </c>
      <c r="G84" s="4"/>
      <c r="H84" s="4" t="s">
        <v>95</v>
      </c>
      <c r="I84" s="4"/>
      <c r="J84" s="4" t="s">
        <v>160</v>
      </c>
      <c r="K84" s="4"/>
      <c r="L84" s="4" t="s">
        <v>230</v>
      </c>
      <c r="M84" s="4"/>
      <c r="N84" s="4" t="s">
        <v>235</v>
      </c>
      <c r="O84" s="4"/>
      <c r="P84" s="5">
        <v>45800</v>
      </c>
      <c r="Q84" s="4"/>
      <c r="R84" s="4" t="s">
        <v>241</v>
      </c>
      <c r="S84" s="4"/>
      <c r="T84" s="9">
        <v>342</v>
      </c>
      <c r="U84" s="4"/>
      <c r="V84" s="6">
        <v>663.34</v>
      </c>
    </row>
    <row r="85" spans="1:22" x14ac:dyDescent="0.25">
      <c r="A85" s="4"/>
      <c r="B85" s="4"/>
      <c r="C85" s="4"/>
      <c r="D85" s="4" t="s">
        <v>21</v>
      </c>
      <c r="E85" s="4"/>
      <c r="F85" s="5">
        <v>45980</v>
      </c>
      <c r="G85" s="4"/>
      <c r="H85" s="4" t="s">
        <v>96</v>
      </c>
      <c r="I85" s="4"/>
      <c r="J85" s="4" t="s">
        <v>161</v>
      </c>
      <c r="K85" s="4"/>
      <c r="L85" s="4" t="s">
        <v>231</v>
      </c>
      <c r="M85" s="4"/>
      <c r="N85" s="4" t="s">
        <v>235</v>
      </c>
      <c r="O85" s="4"/>
      <c r="P85" s="5">
        <v>46010</v>
      </c>
      <c r="Q85" s="4"/>
      <c r="R85" s="4" t="s">
        <v>241</v>
      </c>
      <c r="S85" s="4"/>
      <c r="T85" s="9">
        <v>132</v>
      </c>
      <c r="U85" s="4"/>
      <c r="V85" s="6">
        <v>2398</v>
      </c>
    </row>
    <row r="86" spans="1:22" x14ac:dyDescent="0.25">
      <c r="A86" s="4"/>
      <c r="B86" s="4"/>
      <c r="C86" s="4"/>
      <c r="D86" s="4" t="s">
        <v>21</v>
      </c>
      <c r="E86" s="4"/>
      <c r="F86" s="5">
        <v>45958</v>
      </c>
      <c r="G86" s="4"/>
      <c r="H86" s="4" t="s">
        <v>97</v>
      </c>
      <c r="I86" s="4"/>
      <c r="J86" s="4" t="s">
        <v>162</v>
      </c>
      <c r="K86" s="4"/>
      <c r="L86" s="4" t="s">
        <v>232</v>
      </c>
      <c r="M86" s="4"/>
      <c r="N86" s="4" t="s">
        <v>236</v>
      </c>
      <c r="O86" s="4"/>
      <c r="P86" s="5">
        <v>46018</v>
      </c>
      <c r="Q86" s="4"/>
      <c r="R86" s="4" t="s">
        <v>240</v>
      </c>
      <c r="S86" s="4"/>
      <c r="T86" s="9">
        <v>124</v>
      </c>
      <c r="U86" s="4"/>
      <c r="V86" s="6">
        <v>14790</v>
      </c>
    </row>
    <row r="87" spans="1:22" x14ac:dyDescent="0.25">
      <c r="A87" s="4"/>
      <c r="B87" s="4"/>
      <c r="C87" s="4"/>
      <c r="D87" s="4" t="s">
        <v>21</v>
      </c>
      <c r="E87" s="4"/>
      <c r="F87" s="5">
        <v>45960</v>
      </c>
      <c r="G87" s="4"/>
      <c r="H87" s="4" t="s">
        <v>98</v>
      </c>
      <c r="I87" s="4"/>
      <c r="J87" s="4" t="s">
        <v>163</v>
      </c>
      <c r="K87" s="4"/>
      <c r="L87" s="4" t="s">
        <v>233</v>
      </c>
      <c r="M87" s="4"/>
      <c r="N87" s="4" t="s">
        <v>236</v>
      </c>
      <c r="O87" s="4"/>
      <c r="P87" s="5">
        <v>46020</v>
      </c>
      <c r="Q87" s="4"/>
      <c r="R87" s="4" t="s">
        <v>241</v>
      </c>
      <c r="S87" s="4"/>
      <c r="T87" s="9">
        <v>122</v>
      </c>
      <c r="U87" s="4"/>
      <c r="V87" s="6">
        <v>1168.5</v>
      </c>
    </row>
    <row r="88" spans="1:22" ht="15.75" thickBot="1" x14ac:dyDescent="0.3">
      <c r="A88" s="4"/>
      <c r="B88" s="4"/>
      <c r="C88" s="4"/>
      <c r="D88" s="4" t="s">
        <v>21</v>
      </c>
      <c r="E88" s="4"/>
      <c r="F88" s="5">
        <v>45992</v>
      </c>
      <c r="G88" s="4"/>
      <c r="H88" s="4" t="s">
        <v>99</v>
      </c>
      <c r="I88" s="4"/>
      <c r="J88" s="4" t="s">
        <v>164</v>
      </c>
      <c r="K88" s="4"/>
      <c r="L88" s="4" t="s">
        <v>234</v>
      </c>
      <c r="M88" s="4"/>
      <c r="N88" s="4" t="s">
        <v>235</v>
      </c>
      <c r="O88" s="4"/>
      <c r="P88" s="5">
        <v>46022</v>
      </c>
      <c r="Q88" s="4"/>
      <c r="R88" s="4" t="s">
        <v>240</v>
      </c>
      <c r="S88" s="4"/>
      <c r="T88" s="9">
        <v>120</v>
      </c>
      <c r="U88" s="4"/>
      <c r="V88" s="6">
        <v>4662.6899999999996</v>
      </c>
    </row>
    <row r="89" spans="1:22" ht="15.75" thickBot="1" x14ac:dyDescent="0.3">
      <c r="A89" s="4" t="s">
        <v>19</v>
      </c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5"/>
      <c r="Q89" s="4"/>
      <c r="R89" s="4"/>
      <c r="S89" s="4"/>
      <c r="T89" s="9"/>
      <c r="U89" s="4"/>
      <c r="V89" s="10">
        <f>ROUND(SUM(V83:V88),5)</f>
        <v>23682.53</v>
      </c>
    </row>
    <row r="90" spans="1:22" s="12" customFormat="1" ht="12" thickBot="1" x14ac:dyDescent="0.25">
      <c r="A90" s="1" t="s">
        <v>20</v>
      </c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1"/>
      <c r="T90" s="8"/>
      <c r="U90" s="1"/>
      <c r="V90" s="11">
        <f>ROUND(V50+V64+V73+V82+V89,5)</f>
        <v>4103988.69</v>
      </c>
    </row>
    <row r="91" spans="1:22" ht="15.75" thickTop="1" x14ac:dyDescent="0.25"/>
  </sheetData>
  <pageMargins left="0.7" right="0.7" top="0.75" bottom="0.75" header="0.1" footer="0.3"/>
  <pageSetup orientation="portrait" r:id="rId1"/>
  <headerFooter>
    <oddHeader>&amp;L&amp;"Arial,Bold"&amp;8 8:31 AM
&amp;"Arial,Bold"&amp;8 04/27/26
&amp;"Arial,Bold"&amp;8 &amp;C&amp;"Arial,Bold"&amp;12 Full Sail Marine Group
&amp;"Arial,Bold"&amp;14 A/R Aging Detail
&amp;"Arial,Bold"&amp;10 As of April 30,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133350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133350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Ahmadul Karim Chowdhury</cp:lastModifiedBy>
  <dcterms:created xsi:type="dcterms:W3CDTF">2026-04-27T14:31:32Z</dcterms:created>
  <dcterms:modified xsi:type="dcterms:W3CDTF">2026-05-05T18:54:23Z</dcterms:modified>
</cp:coreProperties>
</file>